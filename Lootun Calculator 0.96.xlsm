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1.xml" ContentType="application/vnd.ms-office.chartcolorstyle+xml"/>
  <Override PartName="/xl/charts/style1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codeName="ThisWorkbook"/>
  <bookViews>
    <workbookView xWindow="28680" yWindow="-120" windowWidth="29040" windowHeight="16440" tabRatio="636"/>
  </bookViews>
  <sheets>
    <sheet name="Offensive Stats" sheetId="17" r:id="rId1"/>
    <sheet name="Defensive Stats" sheetId="27" r:id="rId2"/>
    <sheet name="Points To Percentage Graph" sheetId="25" r:id="rId3"/>
    <sheet name="Attributes &amp; Paragons" sheetId="20" r:id="rId4"/>
    <sheet name="Odds" sheetId="26" r:id="rId5"/>
    <sheet name="Q&amp;As" sheetId="19" r:id="rId6"/>
    <sheet name="Hidden" sheetId="18" state="hidden" r:id="rId7"/>
  </sheets>
  <definedNames>
    <definedName name="ArcaneCloak">Hidden!$O$23</definedName>
    <definedName name="ArcaneExplosion">Hidden!$B$23</definedName>
    <definedName name="ArcaneExplosionFormulas">Hidden!$A$112</definedName>
    <definedName name="ArcaneTorrent">Hidden!$J$23:$J$24</definedName>
    <definedName name="ArcaneTorrentFormulas">Hidden!$A$136:$A$137</definedName>
    <definedName name="ArmourBreak">Hidden!$I$11:$I$12</definedName>
    <definedName name="ArmourBreakFormulas">Hidden!$A$60:$A$61</definedName>
    <definedName name="Barrage">Hidden!$F$17:$F$19</definedName>
    <definedName name="BarrageFormulas">Hidden!$A$89:$A$91</definedName>
    <definedName name="BladeFlurry">Hidden!$I$17:$I$18</definedName>
    <definedName name="BladeFlurryFormulas">Hidden!$A$98:$A$99</definedName>
    <definedName name="Blizzard">Hidden!$K$23:$K$24</definedName>
    <definedName name="BlizzardFormulas">Hidden!$A$140:$A$141</definedName>
    <definedName name="ChainLightning">Hidden!$E$23</definedName>
    <definedName name="ChainLightningFormulas">Hidden!$A$121</definedName>
    <definedName name="Cleave">Hidden!$B$11:$B$12</definedName>
    <definedName name="CleaveFormulas">Hidden!$A$38:$A$39</definedName>
    <definedName name="CripplingPoison">Hidden!$N$17</definedName>
    <definedName name="DefensiveStance">Hidden!$O$11</definedName>
    <definedName name="Disable">Hidden!$B$17</definedName>
    <definedName name="DisableFormulas">Hidden!$A$75</definedName>
    <definedName name="DragonsRoar">Hidden!$K$11</definedName>
    <definedName name="DragonsRoarFormulas">Hidden!$A$68</definedName>
    <definedName name="Earthquake">Hidden!$J$11:$J$12</definedName>
    <definedName name="EarthquakeFormulas">Hidden!$A$64:$A$65</definedName>
    <definedName name="ExplosiveShot">Hidden!$C$17:$C$18</definedName>
    <definedName name="ExplosiveShotFormulas">Hidden!$A$78:$A$79</definedName>
    <definedName name="FireArrow">Hidden!$G$11:$G$12</definedName>
    <definedName name="FireArrowFormulas">Hidden!$A$56:$A$57</definedName>
    <definedName name="Fireball">Hidden!$A$23</definedName>
    <definedName name="FireballFormulas">Hidden!$A$109</definedName>
    <definedName name="Firestorm">Hidden!$I$23:$I$24</definedName>
    <definedName name="FirestormFormulas">Hidden!$A$132:$A$133</definedName>
    <definedName name="Frostbolt">Hidden!$C$23</definedName>
    <definedName name="FrostboltFormulas">Hidden!$A$115</definedName>
    <definedName name="FrostNova">Hidden!$N$23</definedName>
    <definedName name="FrostStrike">Hidden!$D$23</definedName>
    <definedName name="FrostStrikeFormulas">Hidden!$A$118</definedName>
    <definedName name="GroundSlam">Hidden!$M$11</definedName>
    <definedName name="ImposingCry">Hidden!$N$11</definedName>
    <definedName name="M_Defaults">Hidden!$G$2:$G$8</definedName>
    <definedName name="M_Defensive">Hidden!$M$2:$M$4</definedName>
    <definedName name="M_Offensive">Hidden!$J$2:$J$4</definedName>
    <definedName name="Mage">Hidden!$D$2:$D$5</definedName>
    <definedName name="Meteor">Hidden!$G$23:$G$25</definedName>
    <definedName name="MeteorFormulas">Hidden!$A$127:$A$129</definedName>
    <definedName name="PinDown">Hidden!$J$17</definedName>
    <definedName name="PinDownFormulas">Hidden!$A$102</definedName>
    <definedName name="PoisonSting">Hidden!$D$17:$D$18</definedName>
    <definedName name="PoisonStingFormulas">Hidden!$A$82:$A$83</definedName>
    <definedName name="QuickDraw">Hidden!$A$17:$A$18</definedName>
    <definedName name="QuickDrawFormulas">Hidden!$A$71:$A$72</definedName>
    <definedName name="QuickSlash">Hidden!$A$11:$A$13</definedName>
    <definedName name="QuickSlashFormulas">Hidden!$A$33:$A$35</definedName>
    <definedName name="R_Defaults">Hidden!$F$2:$F$8</definedName>
    <definedName name="R_Defensive">Hidden!$L$2:$L$4</definedName>
    <definedName name="R_Offensive">Hidden!$I$2:$I$4</definedName>
    <definedName name="RainOfArrows">Hidden!$K$17:$K$18</definedName>
    <definedName name="RainOfArrowsFormulas">Hidden!$A$105:$A$106</definedName>
    <definedName name="Ranger">Hidden!$C$2:$C$5</definedName>
    <definedName name="Rend">Hidden!$C$11:$C$12</definedName>
    <definedName name="RendFormulas">Hidden!$A$42:$A$43</definedName>
    <definedName name="Slam">Hidden!$F$11:$F$12</definedName>
    <definedName name="SlamFormulas">Hidden!$A$52:$A$53</definedName>
    <definedName name="Smokescreen">Hidden!$M$17</definedName>
    <definedName name="Snipe">Hidden!$G$17:$G$18</definedName>
    <definedName name="SnipeFormulas">Hidden!$A$94:$A$95</definedName>
    <definedName name="Stasis">Hidden!$M$23</definedName>
    <definedName name="Sunder">Hidden!$D$11</definedName>
    <definedName name="SunderFormulas">Hidden!$A$46</definedName>
    <definedName name="TauntingBlow">Hidden!$E$11</definedName>
    <definedName name="TauntingBlowFormulas">Hidden!$A$49</definedName>
    <definedName name="Thunderbolt">Hidden!$F$23</definedName>
    <definedName name="ThunderboltFormulas">Hidden!$A$124</definedName>
    <definedName name="Vanish">Hidden!$O$17</definedName>
    <definedName name="Vigilance">Hidden!$E$17</definedName>
    <definedName name="VigilanceFormulas">Hidden!$A$86</definedName>
    <definedName name="W_Defaults">Hidden!$E$2:$E$8</definedName>
    <definedName name="W_Defensive">Hidden!$K$2:$K$4</definedName>
    <definedName name="W_Offensive">Hidden!$H$2:$H$4</definedName>
    <definedName name="Warrior">Hidden!$B$2:$B$5</definedName>
  </definedNames>
  <calcPr calcId="1456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9" i="26" l="1"/>
  <c r="D45" i="26" s="1"/>
  <c r="D79" i="26" l="1"/>
  <c r="E73" i="26"/>
  <c r="E57" i="26"/>
  <c r="D47" i="26"/>
  <c r="E88" i="26"/>
  <c r="E83" i="26"/>
  <c r="D78" i="26"/>
  <c r="E72" i="26"/>
  <c r="E67" i="26"/>
  <c r="D62" i="26"/>
  <c r="E56" i="26"/>
  <c r="E51" i="26"/>
  <c r="D46" i="26"/>
  <c r="D86" i="26"/>
  <c r="E80" i="26"/>
  <c r="E75" i="26"/>
  <c r="D70" i="26"/>
  <c r="E64" i="26"/>
  <c r="E59" i="26"/>
  <c r="D54" i="26"/>
  <c r="E48" i="26"/>
  <c r="E43" i="26"/>
  <c r="E85" i="26"/>
  <c r="D80" i="26"/>
  <c r="D75" i="26"/>
  <c r="E69" i="26"/>
  <c r="D64" i="26"/>
  <c r="D59" i="26"/>
  <c r="E53" i="26"/>
  <c r="D48" i="26"/>
  <c r="D43" i="26"/>
  <c r="E84" i="26"/>
  <c r="E79" i="26"/>
  <c r="D74" i="26"/>
  <c r="E68" i="26"/>
  <c r="E63" i="26"/>
  <c r="D58" i="26"/>
  <c r="E52" i="26"/>
  <c r="E47" i="26"/>
  <c r="D84" i="26"/>
  <c r="D63" i="26"/>
  <c r="D88" i="26"/>
  <c r="D83" i="26"/>
  <c r="E77" i="26"/>
  <c r="D72" i="26"/>
  <c r="D67" i="26"/>
  <c r="E61" i="26"/>
  <c r="D56" i="26"/>
  <c r="D51" i="26"/>
  <c r="E45" i="26"/>
  <c r="D68" i="26"/>
  <c r="D52" i="26"/>
  <c r="E87" i="26"/>
  <c r="D82" i="26"/>
  <c r="E76" i="26"/>
  <c r="E71" i="26"/>
  <c r="D66" i="26"/>
  <c r="E60" i="26"/>
  <c r="E55" i="26"/>
  <c r="D50" i="26"/>
  <c r="E44" i="26"/>
  <c r="D87" i="26"/>
  <c r="E81" i="26"/>
  <c r="D76" i="26"/>
  <c r="D71" i="26"/>
  <c r="E65" i="26"/>
  <c r="D60" i="26"/>
  <c r="D55" i="26"/>
  <c r="E49" i="26"/>
  <c r="D44" i="26"/>
  <c r="E86" i="26"/>
  <c r="E82" i="26"/>
  <c r="E78" i="26"/>
  <c r="E74" i="26"/>
  <c r="E70" i="26"/>
  <c r="E66" i="26"/>
  <c r="E62" i="26"/>
  <c r="E58" i="26"/>
  <c r="E54" i="26"/>
  <c r="E50" i="26"/>
  <c r="E46" i="26"/>
  <c r="D85" i="26"/>
  <c r="D81" i="26"/>
  <c r="D77" i="26"/>
  <c r="D73" i="26"/>
  <c r="D69" i="26"/>
  <c r="D65" i="26"/>
  <c r="D61" i="26"/>
  <c r="D57" i="26"/>
  <c r="D53" i="26"/>
  <c r="D49" i="26"/>
  <c r="S13" i="26"/>
  <c r="O13" i="26"/>
  <c r="O16" i="26"/>
  <c r="J13" i="26"/>
  <c r="I10" i="26"/>
  <c r="I3" i="26"/>
  <c r="I4" i="26"/>
  <c r="I5" i="26"/>
  <c r="I6" i="26"/>
  <c r="I7" i="26"/>
  <c r="I8" i="26"/>
  <c r="I9" i="26"/>
  <c r="I2" i="26"/>
  <c r="S16" i="26"/>
  <c r="J16" i="26"/>
  <c r="D93" i="26" l="1"/>
  <c r="D94" i="26"/>
  <c r="D91" i="26"/>
  <c r="D92" i="26"/>
  <c r="B13" i="27"/>
  <c r="AL117" i="18"/>
  <c r="AL118" i="18"/>
  <c r="AL119" i="18"/>
  <c r="AL120" i="18"/>
  <c r="AL121" i="18"/>
  <c r="AL122" i="18"/>
  <c r="AL123" i="18"/>
  <c r="AL124" i="18"/>
  <c r="AL125" i="18"/>
  <c r="AL126" i="18"/>
  <c r="AL127" i="18"/>
  <c r="AL128" i="18"/>
  <c r="AL129" i="18"/>
  <c r="AL130" i="18"/>
  <c r="AL131" i="18"/>
  <c r="AL132" i="18"/>
  <c r="AL133" i="18"/>
  <c r="AL134" i="18"/>
  <c r="AL135" i="18"/>
  <c r="AL136" i="18"/>
  <c r="AL137" i="18"/>
  <c r="AL138" i="18"/>
  <c r="AL139" i="18"/>
  <c r="AL140" i="18"/>
  <c r="AL141" i="18"/>
  <c r="AL142" i="18"/>
  <c r="AL143" i="18"/>
  <c r="AL144" i="18"/>
  <c r="AL145" i="18"/>
  <c r="AL146" i="18"/>
  <c r="AL147" i="18"/>
  <c r="AL148" i="18"/>
  <c r="AL149" i="18"/>
  <c r="AL150" i="18"/>
  <c r="AL151" i="18"/>
  <c r="AL152" i="18"/>
  <c r="AL153" i="18"/>
  <c r="AL154" i="18"/>
  <c r="AL155" i="18"/>
  <c r="AL156" i="18"/>
  <c r="AL157" i="18"/>
  <c r="AL158" i="18"/>
  <c r="AL159" i="18"/>
  <c r="AL160" i="18"/>
  <c r="AL161" i="18"/>
  <c r="AL162" i="18"/>
  <c r="AL163" i="18"/>
  <c r="AL164" i="18"/>
  <c r="AL165" i="18"/>
  <c r="AL166" i="18"/>
  <c r="AL167" i="18"/>
  <c r="AL168" i="18"/>
  <c r="AL169" i="18"/>
  <c r="AL170" i="18"/>
  <c r="AL171" i="18"/>
  <c r="AL172" i="18"/>
  <c r="AL173" i="18"/>
  <c r="AL174" i="18"/>
  <c r="AL175" i="18"/>
  <c r="AL176" i="18"/>
  <c r="AL177" i="18"/>
  <c r="AL178" i="18"/>
  <c r="AL179" i="18"/>
  <c r="AL180" i="18"/>
  <c r="AL181" i="18"/>
  <c r="AL182" i="18"/>
  <c r="AL183" i="18"/>
  <c r="AL184" i="18"/>
  <c r="AL185" i="18"/>
  <c r="AL186" i="18"/>
  <c r="AL187" i="18"/>
  <c r="AL188" i="18"/>
  <c r="AL189" i="18"/>
  <c r="AL190" i="18"/>
  <c r="AL191" i="18"/>
  <c r="AL192" i="18"/>
  <c r="AL193" i="18"/>
  <c r="AL194" i="18"/>
  <c r="AL195" i="18"/>
  <c r="AL196" i="18"/>
  <c r="AL197" i="18"/>
  <c r="AL198" i="18"/>
  <c r="AL199" i="18"/>
  <c r="AL200" i="18"/>
  <c r="AL201" i="18"/>
  <c r="AL202" i="18"/>
  <c r="AL203" i="18"/>
  <c r="AL105" i="18"/>
  <c r="AL106" i="18"/>
  <c r="AL107" i="18"/>
  <c r="AL108" i="18"/>
  <c r="AL109" i="18"/>
  <c r="AL110" i="18"/>
  <c r="AL111" i="18"/>
  <c r="AL112" i="18"/>
  <c r="AL113" i="18"/>
  <c r="AL114" i="18"/>
  <c r="AL115" i="18"/>
  <c r="AL116" i="18"/>
  <c r="AL104" i="18"/>
  <c r="L34" i="26" l="1"/>
  <c r="C2" i="27"/>
  <c r="C12" i="27"/>
  <c r="C15" i="27"/>
  <c r="C5" i="27"/>
  <c r="C6" i="27"/>
  <c r="C7" i="27"/>
  <c r="C8" i="27"/>
  <c r="C9" i="27"/>
  <c r="C10" i="27"/>
  <c r="C11" i="27"/>
  <c r="C4" i="27"/>
  <c r="U23" i="26"/>
  <c r="Q23" i="26"/>
  <c r="Q20" i="26"/>
  <c r="L23" i="26"/>
  <c r="L20" i="26"/>
  <c r="L19" i="26"/>
  <c r="I23" i="26"/>
  <c r="I20" i="26"/>
  <c r="I19" i="26"/>
  <c r="S10" i="26" l="1"/>
  <c r="S8" i="26"/>
  <c r="S6" i="26"/>
  <c r="S5" i="26"/>
  <c r="S4" i="26"/>
  <c r="S3" i="26"/>
  <c r="S9" i="26"/>
  <c r="S7" i="26"/>
  <c r="S2" i="26"/>
  <c r="J3" i="26"/>
  <c r="J4" i="26"/>
  <c r="J5" i="26"/>
  <c r="J6" i="26"/>
  <c r="J7" i="26"/>
  <c r="J8" i="26"/>
  <c r="J9" i="26"/>
  <c r="J10" i="26"/>
  <c r="J2" i="26"/>
  <c r="P10" i="26"/>
  <c r="P8" i="26"/>
  <c r="P6" i="26"/>
  <c r="P5" i="26"/>
  <c r="P4" i="26"/>
  <c r="P3" i="26"/>
  <c r="P2" i="26"/>
  <c r="P9" i="26"/>
  <c r="P7" i="26"/>
  <c r="C2" i="26"/>
  <c r="AI206" i="18" l="1"/>
  <c r="AF206" i="18"/>
  <c r="AC206" i="18"/>
  <c r="Z206" i="18"/>
  <c r="AC198" i="18"/>
  <c r="AI15" i="18"/>
  <c r="AI16" i="18"/>
  <c r="AI17" i="18"/>
  <c r="AI18" i="18"/>
  <c r="AI19" i="18"/>
  <c r="AI20" i="18"/>
  <c r="AI21" i="18"/>
  <c r="AI22" i="18"/>
  <c r="AI23" i="18"/>
  <c r="AI24" i="18"/>
  <c r="AI25" i="18"/>
  <c r="AI26" i="18"/>
  <c r="AI27" i="18"/>
  <c r="AI28" i="18"/>
  <c r="AI29" i="18"/>
  <c r="AI30" i="18"/>
  <c r="AI31" i="18"/>
  <c r="AI32" i="18"/>
  <c r="AI33" i="18"/>
  <c r="AI34" i="18"/>
  <c r="AI35" i="18"/>
  <c r="AI36" i="18"/>
  <c r="AI37" i="18"/>
  <c r="AI38" i="18"/>
  <c r="AI39" i="18"/>
  <c r="AI40" i="18"/>
  <c r="AI41" i="18"/>
  <c r="AI42" i="18"/>
  <c r="AI43" i="18"/>
  <c r="AI44" i="18"/>
  <c r="AI45" i="18"/>
  <c r="AI46" i="18"/>
  <c r="AI47" i="18"/>
  <c r="AI48" i="18"/>
  <c r="AI49" i="18"/>
  <c r="AI50" i="18"/>
  <c r="AI51" i="18"/>
  <c r="AI52" i="18"/>
  <c r="AI53" i="18"/>
  <c r="AI54" i="18"/>
  <c r="AI55" i="18"/>
  <c r="AI56" i="18"/>
  <c r="AI57" i="18"/>
  <c r="AI58" i="18"/>
  <c r="AI59" i="18"/>
  <c r="AI60" i="18"/>
  <c r="AI61" i="18"/>
  <c r="AI62" i="18"/>
  <c r="AI63" i="18"/>
  <c r="AI64" i="18"/>
  <c r="AI65" i="18"/>
  <c r="AI66" i="18"/>
  <c r="AI67" i="18"/>
  <c r="AI68" i="18"/>
  <c r="AI69" i="18"/>
  <c r="AI70" i="18"/>
  <c r="AI71" i="18"/>
  <c r="AI72" i="18"/>
  <c r="AI73" i="18"/>
  <c r="AI74" i="18"/>
  <c r="AI75" i="18"/>
  <c r="AI76" i="18"/>
  <c r="AI77" i="18"/>
  <c r="AI78" i="18"/>
  <c r="AI79" i="18"/>
  <c r="AI80" i="18"/>
  <c r="AI81" i="18"/>
  <c r="AI82" i="18"/>
  <c r="AI83" i="18"/>
  <c r="AI84" i="18"/>
  <c r="AI85" i="18"/>
  <c r="AI86" i="18"/>
  <c r="AI87" i="18"/>
  <c r="AI88" i="18"/>
  <c r="AI89" i="18"/>
  <c r="AI90" i="18"/>
  <c r="AI91" i="18"/>
  <c r="AI92" i="18"/>
  <c r="AI93" i="18"/>
  <c r="AI94" i="18"/>
  <c r="AI95" i="18"/>
  <c r="AI96" i="18"/>
  <c r="AI97" i="18"/>
  <c r="AI98" i="18"/>
  <c r="AI99" i="18"/>
  <c r="AI100" i="18"/>
  <c r="AI101" i="18"/>
  <c r="AI102" i="18"/>
  <c r="AI103" i="18"/>
  <c r="AI104" i="18"/>
  <c r="AI105" i="18"/>
  <c r="AI106" i="18"/>
  <c r="AI107" i="18"/>
  <c r="AI108" i="18"/>
  <c r="AI109" i="18"/>
  <c r="AI110" i="18"/>
  <c r="AI111" i="18"/>
  <c r="AI112" i="18"/>
  <c r="AI113" i="18"/>
  <c r="AI114" i="18"/>
  <c r="AI115" i="18"/>
  <c r="AI116" i="18"/>
  <c r="AI117" i="18"/>
  <c r="AI118" i="18"/>
  <c r="AI119" i="18"/>
  <c r="AI120" i="18"/>
  <c r="AI121" i="18"/>
  <c r="AI122" i="18"/>
  <c r="AI123" i="18"/>
  <c r="AI124" i="18"/>
  <c r="AI125" i="18"/>
  <c r="AI126" i="18"/>
  <c r="AI127" i="18"/>
  <c r="AI128" i="18"/>
  <c r="AI129" i="18"/>
  <c r="AI130" i="18"/>
  <c r="AI131" i="18"/>
  <c r="AI132" i="18"/>
  <c r="AI133" i="18"/>
  <c r="AI134" i="18"/>
  <c r="AI135" i="18"/>
  <c r="AI136" i="18"/>
  <c r="AI137" i="18"/>
  <c r="AI138" i="18"/>
  <c r="AI139" i="18"/>
  <c r="AI140" i="18"/>
  <c r="AI141" i="18"/>
  <c r="AI142" i="18"/>
  <c r="AI143" i="18"/>
  <c r="AI144" i="18"/>
  <c r="AI145" i="18"/>
  <c r="AI146" i="18"/>
  <c r="AI147" i="18"/>
  <c r="AI148" i="18"/>
  <c r="AI149" i="18"/>
  <c r="AI150" i="18"/>
  <c r="AI151" i="18"/>
  <c r="AI152" i="18"/>
  <c r="AI153" i="18"/>
  <c r="AI154" i="18"/>
  <c r="AI155" i="18"/>
  <c r="AI156" i="18"/>
  <c r="AI157" i="18"/>
  <c r="AI158" i="18"/>
  <c r="AI159" i="18"/>
  <c r="AI160" i="18"/>
  <c r="AI161" i="18"/>
  <c r="AI162" i="18"/>
  <c r="AI163" i="18"/>
  <c r="AI164" i="18"/>
  <c r="AI165" i="18"/>
  <c r="AI166" i="18"/>
  <c r="AI167" i="18"/>
  <c r="AI168" i="18"/>
  <c r="AI169" i="18"/>
  <c r="AI170" i="18"/>
  <c r="AI171" i="18"/>
  <c r="AI172" i="18"/>
  <c r="AI173" i="18"/>
  <c r="AI174" i="18"/>
  <c r="AI175" i="18"/>
  <c r="AI176" i="18"/>
  <c r="AI177" i="18"/>
  <c r="AI178" i="18"/>
  <c r="AI179" i="18"/>
  <c r="AI180" i="18"/>
  <c r="AI181" i="18"/>
  <c r="AI182" i="18"/>
  <c r="AI183" i="18"/>
  <c r="AI184" i="18"/>
  <c r="AI185" i="18"/>
  <c r="AI186" i="18"/>
  <c r="AI187" i="18"/>
  <c r="AI188" i="18"/>
  <c r="AI189" i="18"/>
  <c r="AI190" i="18"/>
  <c r="AI191" i="18"/>
  <c r="AI192" i="18"/>
  <c r="AI193" i="18"/>
  <c r="AI194" i="18"/>
  <c r="AI195" i="18"/>
  <c r="AI196" i="18"/>
  <c r="AI197" i="18"/>
  <c r="AI198" i="18"/>
  <c r="AI199" i="18"/>
  <c r="AI200" i="18"/>
  <c r="AI201" i="18"/>
  <c r="AI202" i="18"/>
  <c r="AI203" i="18"/>
  <c r="AI3" i="18"/>
  <c r="AI5" i="18"/>
  <c r="AI6" i="18"/>
  <c r="AI7" i="18"/>
  <c r="AI8" i="18"/>
  <c r="AI9" i="18"/>
  <c r="AI10" i="18"/>
  <c r="AI11" i="18"/>
  <c r="AI12" i="18"/>
  <c r="AI13" i="18"/>
  <c r="AI14" i="18"/>
  <c r="AI4" i="18"/>
  <c r="AF14" i="18"/>
  <c r="AF15" i="18"/>
  <c r="AF16" i="18"/>
  <c r="AF17" i="18"/>
  <c r="AF18" i="18"/>
  <c r="AF19" i="18"/>
  <c r="AF20" i="18"/>
  <c r="AF21" i="18"/>
  <c r="AF22" i="18"/>
  <c r="AF23" i="18"/>
  <c r="AF24" i="18"/>
  <c r="AF25" i="18"/>
  <c r="AF26" i="18"/>
  <c r="AF27" i="18"/>
  <c r="AF28" i="18"/>
  <c r="AF29" i="18"/>
  <c r="AF30" i="18"/>
  <c r="AF31" i="18"/>
  <c r="AF32" i="18"/>
  <c r="AF33" i="18"/>
  <c r="AF34" i="18"/>
  <c r="AF35" i="18"/>
  <c r="AF36" i="18"/>
  <c r="AF37" i="18"/>
  <c r="AF38" i="18"/>
  <c r="AF39" i="18"/>
  <c r="AF40" i="18"/>
  <c r="AF41" i="18"/>
  <c r="AF42" i="18"/>
  <c r="AF43" i="18"/>
  <c r="AF44" i="18"/>
  <c r="AF45" i="18"/>
  <c r="AF46" i="18"/>
  <c r="AF47" i="18"/>
  <c r="AF48" i="18"/>
  <c r="AF49" i="18"/>
  <c r="AF50" i="18"/>
  <c r="AF51" i="18"/>
  <c r="AF52" i="18"/>
  <c r="AF53" i="18"/>
  <c r="AF54" i="18"/>
  <c r="AF55" i="18"/>
  <c r="AF56" i="18"/>
  <c r="AF57" i="18"/>
  <c r="AF58" i="18"/>
  <c r="AF59" i="18"/>
  <c r="AF60" i="18"/>
  <c r="AF61" i="18"/>
  <c r="AF62" i="18"/>
  <c r="AF63" i="18"/>
  <c r="AF64" i="18"/>
  <c r="AF65" i="18"/>
  <c r="AF66" i="18"/>
  <c r="AF67" i="18"/>
  <c r="AF68" i="18"/>
  <c r="AF69" i="18"/>
  <c r="AF70" i="18"/>
  <c r="AF71" i="18"/>
  <c r="AF72" i="18"/>
  <c r="AF73" i="18"/>
  <c r="AF74" i="18"/>
  <c r="AF75" i="18"/>
  <c r="AF76" i="18"/>
  <c r="AF77" i="18"/>
  <c r="AF78" i="18"/>
  <c r="AF79" i="18"/>
  <c r="AF80" i="18"/>
  <c r="AF81" i="18"/>
  <c r="AF82" i="18"/>
  <c r="AF83" i="18"/>
  <c r="AF84" i="18"/>
  <c r="AF85" i="18"/>
  <c r="AF86" i="18"/>
  <c r="AF87" i="18"/>
  <c r="AF88" i="18"/>
  <c r="AF89" i="18"/>
  <c r="AF90" i="18"/>
  <c r="AF91" i="18"/>
  <c r="AF92" i="18"/>
  <c r="AF93" i="18"/>
  <c r="AF94" i="18"/>
  <c r="AF95" i="18"/>
  <c r="AF96" i="18"/>
  <c r="AF97" i="18"/>
  <c r="AF98" i="18"/>
  <c r="AF99" i="18"/>
  <c r="AF100" i="18"/>
  <c r="AF101" i="18"/>
  <c r="AF102" i="18"/>
  <c r="AF103" i="18"/>
  <c r="AF104" i="18"/>
  <c r="AF105" i="18"/>
  <c r="AF106" i="18"/>
  <c r="AF107" i="18"/>
  <c r="AF108" i="18"/>
  <c r="AF109" i="18"/>
  <c r="AF110" i="18"/>
  <c r="AF111" i="18"/>
  <c r="AF112" i="18"/>
  <c r="AF113" i="18"/>
  <c r="AF114" i="18"/>
  <c r="AF115" i="18"/>
  <c r="AF116" i="18"/>
  <c r="AF117" i="18"/>
  <c r="AF118" i="18"/>
  <c r="AF119" i="18"/>
  <c r="AF120" i="18"/>
  <c r="AF121" i="18"/>
  <c r="AF122" i="18"/>
  <c r="AF123" i="18"/>
  <c r="AF124" i="18"/>
  <c r="AF125" i="18"/>
  <c r="AF126" i="18"/>
  <c r="AF127" i="18"/>
  <c r="AF128" i="18"/>
  <c r="AF129" i="18"/>
  <c r="AF130" i="18"/>
  <c r="AF131" i="18"/>
  <c r="AF132" i="18"/>
  <c r="AF133" i="18"/>
  <c r="AF134" i="18"/>
  <c r="AF135" i="18"/>
  <c r="AF136" i="18"/>
  <c r="AF137" i="18"/>
  <c r="AF138" i="18"/>
  <c r="AF139" i="18"/>
  <c r="AF140" i="18"/>
  <c r="AF141" i="18"/>
  <c r="AF142" i="18"/>
  <c r="AF143" i="18"/>
  <c r="AF144" i="18"/>
  <c r="AF145" i="18"/>
  <c r="AF146" i="18"/>
  <c r="AF147" i="18"/>
  <c r="AF148" i="18"/>
  <c r="AF149" i="18"/>
  <c r="AF150" i="18"/>
  <c r="AF151" i="18"/>
  <c r="AF152" i="18"/>
  <c r="AF153" i="18"/>
  <c r="AF154" i="18"/>
  <c r="AF155" i="18"/>
  <c r="AF156" i="18"/>
  <c r="AF157" i="18"/>
  <c r="AF158" i="18"/>
  <c r="AF159" i="18"/>
  <c r="AF160" i="18"/>
  <c r="AF161" i="18"/>
  <c r="AF162" i="18"/>
  <c r="AF163" i="18"/>
  <c r="AF164" i="18"/>
  <c r="AF165" i="18"/>
  <c r="AF166" i="18"/>
  <c r="AF167" i="18"/>
  <c r="AF168" i="18"/>
  <c r="AF169" i="18"/>
  <c r="AF170" i="18"/>
  <c r="AF171" i="18"/>
  <c r="AF172" i="18"/>
  <c r="AF173" i="18"/>
  <c r="AF174" i="18"/>
  <c r="AF175" i="18"/>
  <c r="AF176" i="18"/>
  <c r="AF177" i="18"/>
  <c r="AF178" i="18"/>
  <c r="AF179" i="18"/>
  <c r="AF180" i="18"/>
  <c r="AF181" i="18"/>
  <c r="AF182" i="18"/>
  <c r="AF183" i="18"/>
  <c r="AF184" i="18"/>
  <c r="AF185" i="18"/>
  <c r="AF186" i="18"/>
  <c r="AF187" i="18"/>
  <c r="AF188" i="18"/>
  <c r="AF189" i="18"/>
  <c r="AF190" i="18"/>
  <c r="AF191" i="18"/>
  <c r="AF192" i="18"/>
  <c r="AF193" i="18"/>
  <c r="AF194" i="18"/>
  <c r="AF195" i="18"/>
  <c r="AF196" i="18"/>
  <c r="AF197" i="18"/>
  <c r="AF198" i="18"/>
  <c r="AF199" i="18"/>
  <c r="AF200" i="18"/>
  <c r="AF201" i="18"/>
  <c r="AF202" i="18"/>
  <c r="AF203" i="18"/>
  <c r="AF5" i="18"/>
  <c r="AF6" i="18"/>
  <c r="AF7" i="18"/>
  <c r="AF8" i="18"/>
  <c r="AF9" i="18"/>
  <c r="AF10" i="18"/>
  <c r="AF11" i="18"/>
  <c r="AF12" i="18"/>
  <c r="AF13" i="18"/>
  <c r="AF3" i="18"/>
  <c r="AF4" i="18"/>
  <c r="AC7" i="18"/>
  <c r="AC8" i="18"/>
  <c r="AC9" i="18"/>
  <c r="AC10" i="18"/>
  <c r="AC11" i="18"/>
  <c r="AC12" i="18"/>
  <c r="AC13" i="18"/>
  <c r="AC14" i="18"/>
  <c r="AC15" i="18"/>
  <c r="AC16" i="18"/>
  <c r="AC17" i="18"/>
  <c r="AC18" i="18"/>
  <c r="AC19" i="18"/>
  <c r="AC20" i="18"/>
  <c r="AC21" i="18"/>
  <c r="AC22" i="18"/>
  <c r="AC23" i="18"/>
  <c r="AC24" i="18"/>
  <c r="AC25" i="18"/>
  <c r="AC26" i="18"/>
  <c r="AC27" i="18"/>
  <c r="AC28" i="18"/>
  <c r="AC29" i="18"/>
  <c r="AC30" i="18"/>
  <c r="AC31" i="18"/>
  <c r="AC32" i="18"/>
  <c r="AC33" i="18"/>
  <c r="AC34" i="18"/>
  <c r="AC35" i="18"/>
  <c r="AC36" i="18"/>
  <c r="AC37" i="18"/>
  <c r="AC38" i="18"/>
  <c r="AC39" i="18"/>
  <c r="AC40" i="18"/>
  <c r="AC41" i="18"/>
  <c r="AC42" i="18"/>
  <c r="AC43" i="18"/>
  <c r="AC44" i="18"/>
  <c r="AC45" i="18"/>
  <c r="AC46" i="18"/>
  <c r="AC47" i="18"/>
  <c r="AC48" i="18"/>
  <c r="AC49" i="18"/>
  <c r="AC50" i="18"/>
  <c r="AC51" i="18"/>
  <c r="AC52" i="18"/>
  <c r="AC53" i="18"/>
  <c r="AC54" i="18"/>
  <c r="AC55" i="18"/>
  <c r="AC56" i="18"/>
  <c r="AC57" i="18"/>
  <c r="AC58" i="18"/>
  <c r="AC59" i="18"/>
  <c r="AC60" i="18"/>
  <c r="AC61" i="18"/>
  <c r="AC62" i="18"/>
  <c r="AC63" i="18"/>
  <c r="AC64" i="18"/>
  <c r="AC65" i="18"/>
  <c r="AC66" i="18"/>
  <c r="AC67" i="18"/>
  <c r="AC68" i="18"/>
  <c r="AC69" i="18"/>
  <c r="AC70" i="18"/>
  <c r="AC71" i="18"/>
  <c r="AC72" i="18"/>
  <c r="AC73" i="18"/>
  <c r="AC74" i="18"/>
  <c r="AC75" i="18"/>
  <c r="AC76" i="18"/>
  <c r="AC77" i="18"/>
  <c r="AC78" i="18"/>
  <c r="AC79" i="18"/>
  <c r="AC80" i="18"/>
  <c r="AC81" i="18"/>
  <c r="AC82" i="18"/>
  <c r="AC83" i="18"/>
  <c r="AC84" i="18"/>
  <c r="AC85" i="18"/>
  <c r="AC86" i="18"/>
  <c r="AC87" i="18"/>
  <c r="AC88" i="18"/>
  <c r="AC89" i="18"/>
  <c r="AC90" i="18"/>
  <c r="AC91" i="18"/>
  <c r="AC92" i="18"/>
  <c r="AC93" i="18"/>
  <c r="AC94" i="18"/>
  <c r="AC95" i="18"/>
  <c r="AC96" i="18"/>
  <c r="AC97" i="18"/>
  <c r="AC98" i="18"/>
  <c r="AC99" i="18"/>
  <c r="AC100" i="18"/>
  <c r="AC101" i="18"/>
  <c r="AC102" i="18"/>
  <c r="AC103" i="18"/>
  <c r="AC104" i="18"/>
  <c r="AC105" i="18"/>
  <c r="AC106" i="18"/>
  <c r="AC107" i="18"/>
  <c r="AC108" i="18"/>
  <c r="AC109" i="18"/>
  <c r="AC110" i="18"/>
  <c r="AC111" i="18"/>
  <c r="AC112" i="18"/>
  <c r="AC113" i="18"/>
  <c r="AC114" i="18"/>
  <c r="AC115" i="18"/>
  <c r="AC116" i="18"/>
  <c r="AC117" i="18"/>
  <c r="AC118" i="18"/>
  <c r="AC119" i="18"/>
  <c r="AC120" i="18"/>
  <c r="AC121" i="18"/>
  <c r="AC122" i="18"/>
  <c r="AC123" i="18"/>
  <c r="AC124" i="18"/>
  <c r="AC125" i="18"/>
  <c r="AC126" i="18"/>
  <c r="AC127" i="18"/>
  <c r="AC128" i="18"/>
  <c r="AC129" i="18"/>
  <c r="AC130" i="18"/>
  <c r="AC131" i="18"/>
  <c r="AC132" i="18"/>
  <c r="AC133" i="18"/>
  <c r="AC134" i="18"/>
  <c r="AC135" i="18"/>
  <c r="AC136" i="18"/>
  <c r="AC137" i="18"/>
  <c r="AC138" i="18"/>
  <c r="AC139" i="18"/>
  <c r="AC140" i="18"/>
  <c r="AC141" i="18"/>
  <c r="AC142" i="18"/>
  <c r="AC143" i="18"/>
  <c r="AC144" i="18"/>
  <c r="AC145" i="18"/>
  <c r="AC146" i="18"/>
  <c r="AC147" i="18"/>
  <c r="AC148" i="18"/>
  <c r="AC149" i="18"/>
  <c r="AC150" i="18"/>
  <c r="AC151" i="18"/>
  <c r="AC152" i="18"/>
  <c r="AC153" i="18"/>
  <c r="AC154" i="18"/>
  <c r="AC155" i="18"/>
  <c r="AC156" i="18"/>
  <c r="AC157" i="18"/>
  <c r="AC158" i="18"/>
  <c r="AC159" i="18"/>
  <c r="AC160" i="18"/>
  <c r="AC161" i="18"/>
  <c r="AC162" i="18"/>
  <c r="AC163" i="18"/>
  <c r="AC164" i="18"/>
  <c r="AC165" i="18"/>
  <c r="AC166" i="18"/>
  <c r="AC167" i="18"/>
  <c r="AC168" i="18"/>
  <c r="AC169" i="18"/>
  <c r="AC170" i="18"/>
  <c r="AC171" i="18"/>
  <c r="AC172" i="18"/>
  <c r="AC173" i="18"/>
  <c r="AC174" i="18"/>
  <c r="AC175" i="18"/>
  <c r="AC176" i="18"/>
  <c r="AC177" i="18"/>
  <c r="AC178" i="18"/>
  <c r="AC179" i="18"/>
  <c r="AC180" i="18"/>
  <c r="AC181" i="18"/>
  <c r="AC182" i="18"/>
  <c r="AC183" i="18"/>
  <c r="AC184" i="18"/>
  <c r="AC185" i="18"/>
  <c r="AC186" i="18"/>
  <c r="AC187" i="18"/>
  <c r="AC188" i="18"/>
  <c r="AC189" i="18"/>
  <c r="AC190" i="18"/>
  <c r="AC191" i="18"/>
  <c r="AC192" i="18"/>
  <c r="AC193" i="18"/>
  <c r="AC194" i="18"/>
  <c r="AC195" i="18"/>
  <c r="AC196" i="18"/>
  <c r="AC197" i="18"/>
  <c r="AC199" i="18"/>
  <c r="AC200" i="18"/>
  <c r="AC201" i="18"/>
  <c r="AC202" i="18"/>
  <c r="AC203" i="18"/>
  <c r="AC4" i="18"/>
  <c r="AC5" i="18"/>
  <c r="AC6" i="18"/>
  <c r="AC3" i="18"/>
  <c r="Z3" i="18"/>
  <c r="Z4" i="18"/>
  <c r="Z104" i="18"/>
  <c r="Z105" i="18"/>
  <c r="Z106" i="18"/>
  <c r="Z107" i="18"/>
  <c r="Z108" i="18"/>
  <c r="Z109" i="18"/>
  <c r="Z110" i="18"/>
  <c r="Z111" i="18"/>
  <c r="Z112" i="18"/>
  <c r="Z113" i="18"/>
  <c r="Z114" i="18"/>
  <c r="Z115" i="18"/>
  <c r="Z116" i="18"/>
  <c r="Z117" i="18"/>
  <c r="Z118" i="18"/>
  <c r="Z119" i="18"/>
  <c r="Z120" i="18"/>
  <c r="Z121" i="18"/>
  <c r="Z122" i="18"/>
  <c r="Z123" i="18"/>
  <c r="Z124" i="18"/>
  <c r="Z125" i="18"/>
  <c r="Z126" i="18"/>
  <c r="Z127" i="18"/>
  <c r="Z128" i="18"/>
  <c r="Z129" i="18"/>
  <c r="Z130" i="18"/>
  <c r="Z131" i="18"/>
  <c r="Z132" i="18"/>
  <c r="Z133" i="18"/>
  <c r="Z134" i="18"/>
  <c r="Z135" i="18"/>
  <c r="Z136" i="18"/>
  <c r="Z137" i="18"/>
  <c r="Z138" i="18"/>
  <c r="Z139" i="18"/>
  <c r="Z140" i="18"/>
  <c r="Z141" i="18"/>
  <c r="Z142" i="18"/>
  <c r="Z143" i="18"/>
  <c r="Z144" i="18"/>
  <c r="Z145" i="18"/>
  <c r="Z146" i="18"/>
  <c r="Z147" i="18"/>
  <c r="Z148" i="18"/>
  <c r="Z149" i="18"/>
  <c r="Z150" i="18"/>
  <c r="Z151" i="18"/>
  <c r="Z152" i="18"/>
  <c r="Z153" i="18"/>
  <c r="Z154" i="18"/>
  <c r="Z155" i="18"/>
  <c r="Z156" i="18"/>
  <c r="Z157" i="18"/>
  <c r="Z158" i="18"/>
  <c r="Z159" i="18"/>
  <c r="Z160" i="18"/>
  <c r="Z161" i="18"/>
  <c r="Z162" i="18"/>
  <c r="Z163" i="18"/>
  <c r="Z164" i="18"/>
  <c r="Z165" i="18"/>
  <c r="Z166" i="18"/>
  <c r="Z167" i="18"/>
  <c r="Z168" i="18"/>
  <c r="Z169" i="18"/>
  <c r="Z170" i="18"/>
  <c r="Z171" i="18"/>
  <c r="Z172" i="18"/>
  <c r="Z173" i="18"/>
  <c r="Z174" i="18"/>
  <c r="Z175" i="18"/>
  <c r="Z176" i="18"/>
  <c r="Z177" i="18"/>
  <c r="Z178" i="18"/>
  <c r="Z179" i="18"/>
  <c r="Z180" i="18"/>
  <c r="Z181" i="18"/>
  <c r="Z182" i="18"/>
  <c r="Z183" i="18"/>
  <c r="Z184" i="18"/>
  <c r="Z185" i="18"/>
  <c r="Z186" i="18"/>
  <c r="Z187" i="18"/>
  <c r="Z188" i="18"/>
  <c r="Z189" i="18"/>
  <c r="Z190" i="18"/>
  <c r="Z191" i="18"/>
  <c r="Z192" i="18"/>
  <c r="Z193" i="18"/>
  <c r="Z194" i="18"/>
  <c r="Z195" i="18"/>
  <c r="Z196" i="18"/>
  <c r="Z197" i="18"/>
  <c r="Z198" i="18"/>
  <c r="Z199" i="18"/>
  <c r="Z200" i="18"/>
  <c r="Z201" i="18"/>
  <c r="Z202" i="18"/>
  <c r="Z203" i="18"/>
  <c r="Z31" i="18"/>
  <c r="Z32" i="18"/>
  <c r="Z33" i="18"/>
  <c r="Z34" i="18"/>
  <c r="Z35" i="18"/>
  <c r="Z36" i="18"/>
  <c r="Z37" i="18"/>
  <c r="Z38" i="18"/>
  <c r="Z39" i="18"/>
  <c r="Z40" i="18"/>
  <c r="Z41" i="18"/>
  <c r="Z42" i="18"/>
  <c r="Z43" i="18"/>
  <c r="Z44" i="18"/>
  <c r="Z45" i="18"/>
  <c r="Z46" i="18"/>
  <c r="Z47" i="18"/>
  <c r="Z48" i="18"/>
  <c r="Z49" i="18"/>
  <c r="Z50" i="18"/>
  <c r="Z51" i="18"/>
  <c r="Z52" i="18"/>
  <c r="Z53" i="18"/>
  <c r="Z54" i="18"/>
  <c r="Z55" i="18"/>
  <c r="Z56" i="18"/>
  <c r="Z57" i="18"/>
  <c r="Z58" i="18"/>
  <c r="Z59" i="18"/>
  <c r="Z60" i="18"/>
  <c r="Z61" i="18"/>
  <c r="Z62" i="18"/>
  <c r="Z63" i="18"/>
  <c r="Z64" i="18"/>
  <c r="Z65" i="18"/>
  <c r="Z66" i="18"/>
  <c r="Z67" i="18"/>
  <c r="Z68" i="18"/>
  <c r="Z69" i="18"/>
  <c r="Z70" i="18"/>
  <c r="Z71" i="18"/>
  <c r="Z72" i="18"/>
  <c r="Z73" i="18"/>
  <c r="Z74" i="18"/>
  <c r="Z75" i="18"/>
  <c r="Z76" i="18"/>
  <c r="Z77" i="18"/>
  <c r="Z78" i="18"/>
  <c r="Z79" i="18"/>
  <c r="Z80" i="18"/>
  <c r="Z81" i="18"/>
  <c r="Z82" i="18"/>
  <c r="Z83" i="18"/>
  <c r="Z84" i="18"/>
  <c r="Z85" i="18"/>
  <c r="Z86" i="18"/>
  <c r="Z87" i="18"/>
  <c r="Z88" i="18"/>
  <c r="Z89" i="18"/>
  <c r="Z90" i="18"/>
  <c r="Z91" i="18"/>
  <c r="Z92" i="18"/>
  <c r="Z93" i="18"/>
  <c r="Z94" i="18"/>
  <c r="Z95" i="18"/>
  <c r="Z96" i="18"/>
  <c r="Z97" i="18"/>
  <c r="Z98" i="18"/>
  <c r="Z99" i="18"/>
  <c r="Z100" i="18"/>
  <c r="Z101" i="18"/>
  <c r="Z102" i="18"/>
  <c r="Z103" i="18"/>
  <c r="Z21" i="18"/>
  <c r="Z22" i="18"/>
  <c r="Z23" i="18"/>
  <c r="Z24" i="18"/>
  <c r="Z25" i="18"/>
  <c r="Z26" i="18"/>
  <c r="Z27" i="18"/>
  <c r="Z28" i="18"/>
  <c r="Z29" i="18"/>
  <c r="Z30" i="18"/>
  <c r="Z8" i="18"/>
  <c r="Z9" i="18"/>
  <c r="Z10" i="18"/>
  <c r="Z11" i="18"/>
  <c r="Z12" i="18"/>
  <c r="Z13" i="18"/>
  <c r="Z14" i="18"/>
  <c r="Z15" i="18"/>
  <c r="Z16" i="18"/>
  <c r="Z17" i="18"/>
  <c r="Z18" i="18"/>
  <c r="Z19" i="18"/>
  <c r="Z20" i="18"/>
  <c r="Z5" i="18"/>
  <c r="Z6" i="18"/>
  <c r="Z7" i="18"/>
  <c r="AD198" i="18" l="1"/>
  <c r="AA5" i="18"/>
  <c r="AA13" i="18"/>
  <c r="AA28" i="18"/>
  <c r="AA103" i="18"/>
  <c r="AA95" i="18"/>
  <c r="AA87" i="18"/>
  <c r="AA79" i="18"/>
  <c r="AA71" i="18"/>
  <c r="AA63" i="18"/>
  <c r="AA55" i="18"/>
  <c r="AA47" i="18"/>
  <c r="AA39" i="18"/>
  <c r="AA196" i="18"/>
  <c r="AA188" i="18"/>
  <c r="AA172" i="18"/>
  <c r="AA164" i="18"/>
  <c r="AA156" i="18"/>
  <c r="AA148" i="18"/>
  <c r="AA140" i="18"/>
  <c r="AA132" i="18"/>
  <c r="AA124" i="18"/>
  <c r="AA116" i="18"/>
  <c r="AA108" i="18"/>
  <c r="AG109" i="18"/>
  <c r="AG77" i="18"/>
  <c r="AG73" i="18"/>
  <c r="AJ11" i="18"/>
  <c r="AJ7" i="18"/>
  <c r="AA65" i="18"/>
  <c r="AA57" i="18"/>
  <c r="AA49" i="18"/>
  <c r="AA41" i="18"/>
  <c r="AA33" i="18"/>
  <c r="AA198" i="18"/>
  <c r="AA182" i="18"/>
  <c r="AA174" i="18"/>
  <c r="AA166" i="18"/>
  <c r="AA158" i="18"/>
  <c r="AA150" i="18"/>
  <c r="AA142" i="18"/>
  <c r="AA134" i="18"/>
  <c r="AA126" i="18"/>
  <c r="AA118" i="18"/>
  <c r="AD195" i="18"/>
  <c r="AD187" i="18"/>
  <c r="AD179" i="18"/>
  <c r="AD171" i="18"/>
  <c r="AD163" i="18"/>
  <c r="AD155" i="18"/>
  <c r="AD147" i="18"/>
  <c r="AD139" i="18"/>
  <c r="AD131" i="18"/>
  <c r="AD123" i="18"/>
  <c r="AD115" i="18"/>
  <c r="AD107" i="18"/>
  <c r="AD99" i="18"/>
  <c r="AD91" i="18"/>
  <c r="AD83" i="18"/>
  <c r="AD75" i="18"/>
  <c r="AD67" i="18"/>
  <c r="AD59" i="18"/>
  <c r="AD51" i="18"/>
  <c r="AD43" i="18"/>
  <c r="AD35" i="18"/>
  <c r="AD27" i="18"/>
  <c r="AD23" i="18"/>
  <c r="AD19" i="18"/>
  <c r="AD15" i="18"/>
  <c r="AD11" i="18"/>
  <c r="AG16" i="18"/>
  <c r="AJ5" i="18"/>
  <c r="AA18" i="18"/>
  <c r="AA10" i="18"/>
  <c r="AA25" i="18"/>
  <c r="AA100" i="18"/>
  <c r="AA92" i="18"/>
  <c r="AA84" i="18"/>
  <c r="AA76" i="18"/>
  <c r="AA68" i="18"/>
  <c r="AA60" i="18"/>
  <c r="AA52" i="18"/>
  <c r="AA44" i="18"/>
  <c r="AA36" i="18"/>
  <c r="AA201" i="18"/>
  <c r="AA193" i="18"/>
  <c r="AA185" i="18"/>
  <c r="AA177" i="18"/>
  <c r="AA169" i="18"/>
  <c r="AA161" i="18"/>
  <c r="AA153" i="18"/>
  <c r="AA145" i="18"/>
  <c r="AA137" i="18"/>
  <c r="AA129" i="18"/>
  <c r="AA121" i="18"/>
  <c r="AA113" i="18"/>
  <c r="AA105" i="18"/>
  <c r="AD190" i="18"/>
  <c r="AD182" i="18"/>
  <c r="AD174" i="18"/>
  <c r="AD166" i="18"/>
  <c r="AD158" i="18"/>
  <c r="AD150" i="18"/>
  <c r="AD142" i="18"/>
  <c r="AD134" i="18"/>
  <c r="AD126" i="18"/>
  <c r="AD118" i="18"/>
  <c r="AD110" i="18"/>
  <c r="AD86" i="18"/>
  <c r="AD78" i="18"/>
  <c r="AD70" i="18"/>
  <c r="AD62" i="18"/>
  <c r="AD54" i="18"/>
  <c r="AD46" i="18"/>
  <c r="AD38" i="18"/>
  <c r="AD30" i="18"/>
  <c r="AD22" i="18"/>
  <c r="AD14" i="18"/>
  <c r="AG7" i="18"/>
  <c r="AG198" i="18"/>
  <c r="AG190" i="18"/>
  <c r="AG90" i="18"/>
  <c r="AG82" i="18"/>
  <c r="AJ200" i="18"/>
  <c r="AJ196" i="18"/>
  <c r="AJ192" i="18"/>
  <c r="AJ188" i="18"/>
  <c r="AJ184" i="18"/>
  <c r="AJ180" i="18"/>
  <c r="AJ176" i="18"/>
  <c r="AJ172" i="18"/>
  <c r="AJ168" i="18"/>
  <c r="AJ164" i="18"/>
  <c r="AJ160" i="18"/>
  <c r="AJ156" i="18"/>
  <c r="AJ152" i="18"/>
  <c r="AJ148" i="18"/>
  <c r="AJ144" i="18"/>
  <c r="AJ140" i="18"/>
  <c r="AJ136" i="18"/>
  <c r="AJ132" i="18"/>
  <c r="AJ128" i="18"/>
  <c r="AJ124" i="18"/>
  <c r="AJ120" i="18"/>
  <c r="AJ116" i="18"/>
  <c r="AJ112" i="18"/>
  <c r="AJ108" i="18"/>
  <c r="AJ104" i="18"/>
  <c r="AJ100" i="18"/>
  <c r="AJ96" i="18"/>
  <c r="AJ92" i="18"/>
  <c r="AJ88" i="18"/>
  <c r="AJ84" i="18"/>
  <c r="AJ80" i="18"/>
  <c r="AJ76" i="18"/>
  <c r="AJ72" i="18"/>
  <c r="AJ68" i="18"/>
  <c r="AJ64" i="18"/>
  <c r="AJ60" i="18"/>
  <c r="AJ56" i="18"/>
  <c r="AJ52" i="18"/>
  <c r="AJ48" i="18"/>
  <c r="AJ44" i="18"/>
  <c r="AJ40" i="18"/>
  <c r="AJ36" i="18"/>
  <c r="AJ28" i="18"/>
  <c r="AJ20" i="18"/>
  <c r="AD96" i="18"/>
  <c r="AD88" i="18"/>
  <c r="AD80" i="18"/>
  <c r="AD72" i="18"/>
  <c r="AD64" i="18"/>
  <c r="AD56" i="18"/>
  <c r="AD48" i="18"/>
  <c r="AD40" i="18"/>
  <c r="AD32" i="18"/>
  <c r="AD24" i="18"/>
  <c r="AD16" i="18"/>
  <c r="AD8" i="18"/>
  <c r="AG13" i="18"/>
  <c r="AG200" i="18"/>
  <c r="AG96" i="18"/>
  <c r="AG92" i="18"/>
  <c r="AG84" i="18"/>
  <c r="AG64" i="18"/>
  <c r="AG60" i="18"/>
  <c r="AG52" i="18"/>
  <c r="AG32" i="18"/>
  <c r="AG28" i="18"/>
  <c r="AG20" i="18"/>
  <c r="AJ203" i="18"/>
  <c r="AJ199" i="18"/>
  <c r="AJ195" i="18"/>
  <c r="AJ191" i="18"/>
  <c r="AJ187" i="18"/>
  <c r="AJ183" i="18"/>
  <c r="AJ179" i="18"/>
  <c r="AJ175" i="18"/>
  <c r="AJ171" i="18"/>
  <c r="AJ167" i="18"/>
  <c r="AJ163" i="18"/>
  <c r="AJ159" i="18"/>
  <c r="AJ155" i="18"/>
  <c r="AJ151" i="18"/>
  <c r="AJ147" i="18"/>
  <c r="AJ143" i="18"/>
  <c r="AJ139" i="18"/>
  <c r="AJ135" i="18"/>
  <c r="AJ131" i="18"/>
  <c r="AJ127" i="18"/>
  <c r="AJ123" i="18"/>
  <c r="AJ119" i="18"/>
  <c r="AJ115" i="18"/>
  <c r="AJ111" i="18"/>
  <c r="AJ107" i="18"/>
  <c r="AJ103" i="18"/>
  <c r="AJ99" i="18"/>
  <c r="AJ95" i="18"/>
  <c r="AJ91" i="18"/>
  <c r="AJ87" i="18"/>
  <c r="AJ83" i="18"/>
  <c r="AJ79" i="18"/>
  <c r="AJ75" i="18"/>
  <c r="AJ71" i="18"/>
  <c r="AJ67" i="18"/>
  <c r="AJ63" i="18"/>
  <c r="AJ59" i="18"/>
  <c r="AJ55" i="18"/>
  <c r="AJ51" i="18"/>
  <c r="AJ47" i="18"/>
  <c r="AJ43" i="18"/>
  <c r="AJ39" i="18"/>
  <c r="AJ35" i="18"/>
  <c r="AJ31" i="18"/>
  <c r="AJ27" i="18"/>
  <c r="AD203" i="18"/>
  <c r="AA31" i="18"/>
  <c r="AA20" i="18"/>
  <c r="AA16" i="18"/>
  <c r="AA12" i="18"/>
  <c r="AA8" i="18"/>
  <c r="AA27" i="18"/>
  <c r="AA23" i="18"/>
  <c r="AA102" i="18"/>
  <c r="AA98" i="18"/>
  <c r="AA94" i="18"/>
  <c r="AA90" i="18"/>
  <c r="AA86" i="18"/>
  <c r="AA82" i="18"/>
  <c r="AA78" i="18"/>
  <c r="AA74" i="18"/>
  <c r="AA70" i="18"/>
  <c r="AA66" i="18"/>
  <c r="AA62" i="18"/>
  <c r="AA58" i="18"/>
  <c r="AA54" i="18"/>
  <c r="AA50" i="18"/>
  <c r="AA46" i="18"/>
  <c r="AA42" i="18"/>
  <c r="AA38" i="18"/>
  <c r="AG11" i="18"/>
  <c r="AG46" i="18"/>
  <c r="AG38" i="18"/>
  <c r="AD7" i="18"/>
  <c r="AG5" i="18"/>
  <c r="AA34" i="18"/>
  <c r="AA203" i="18"/>
  <c r="AA199" i="18"/>
  <c r="AA195" i="18"/>
  <c r="AA191" i="18"/>
  <c r="AA187" i="18"/>
  <c r="AA183" i="18"/>
  <c r="AA179" i="18"/>
  <c r="AA175" i="18"/>
  <c r="AA171" i="18"/>
  <c r="AA167" i="18"/>
  <c r="AA163" i="18"/>
  <c r="AA159" i="18"/>
  <c r="AA155" i="18"/>
  <c r="AA151" i="18"/>
  <c r="AA147" i="18"/>
  <c r="AA143" i="18"/>
  <c r="AA139" i="18"/>
  <c r="AA135" i="18"/>
  <c r="AA131" i="18"/>
  <c r="AA127" i="18"/>
  <c r="AA123" i="18"/>
  <c r="AA119" i="18"/>
  <c r="AA115" i="18"/>
  <c r="AA111" i="18"/>
  <c r="AA107" i="18"/>
  <c r="AA4" i="18"/>
  <c r="AD5" i="18"/>
  <c r="AD201" i="18"/>
  <c r="AD197" i="18"/>
  <c r="AD193" i="18"/>
  <c r="AD189" i="18"/>
  <c r="AD185" i="18"/>
  <c r="AD181" i="18"/>
  <c r="AD177" i="18"/>
  <c r="AD173" i="18"/>
  <c r="AD169" i="18"/>
  <c r="AD165" i="18"/>
  <c r="AD161" i="18"/>
  <c r="AD157" i="18"/>
  <c r="AD153" i="18"/>
  <c r="AD149" i="18"/>
  <c r="AD145" i="18"/>
  <c r="AD141" i="18"/>
  <c r="AD137" i="18"/>
  <c r="AD133" i="18"/>
  <c r="AD129" i="18"/>
  <c r="AD125" i="18"/>
  <c r="AD121" i="18"/>
  <c r="AD117" i="18"/>
  <c r="AD113" i="18"/>
  <c r="AD109" i="18"/>
  <c r="AD105" i="18"/>
  <c r="AD101" i="18"/>
  <c r="AD97" i="18"/>
  <c r="AD93" i="18"/>
  <c r="AD89" i="18"/>
  <c r="AD85" i="18"/>
  <c r="AD81" i="18"/>
  <c r="AD77" i="18"/>
  <c r="AD73" i="18"/>
  <c r="AD69" i="18"/>
  <c r="AD65" i="18"/>
  <c r="AD61" i="18"/>
  <c r="AD57" i="18"/>
  <c r="AD53" i="18"/>
  <c r="AD49" i="18"/>
  <c r="AD45" i="18"/>
  <c r="AD41" i="18"/>
  <c r="AD37" i="18"/>
  <c r="AD33" i="18"/>
  <c r="AD29" i="18"/>
  <c r="AD25" i="18"/>
  <c r="AD21" i="18"/>
  <c r="AD17" i="18"/>
  <c r="AD13" i="18"/>
  <c r="AD9" i="18"/>
  <c r="AG12" i="18"/>
  <c r="AG8" i="18"/>
  <c r="AG107" i="18"/>
  <c r="AG79" i="18"/>
  <c r="AG71" i="18"/>
  <c r="AG47" i="18"/>
  <c r="AG39" i="18"/>
  <c r="AA17" i="18"/>
  <c r="AA9" i="18"/>
  <c r="AA24" i="18"/>
  <c r="AA99" i="18"/>
  <c r="AA91" i="18"/>
  <c r="AA83" i="18"/>
  <c r="AA75" i="18"/>
  <c r="AA67" i="18"/>
  <c r="AA59" i="18"/>
  <c r="AA51" i="18"/>
  <c r="AA43" i="18"/>
  <c r="AA35" i="18"/>
  <c r="AA200" i="18"/>
  <c r="AA192" i="18"/>
  <c r="AA184" i="18"/>
  <c r="AA176" i="18"/>
  <c r="AA168" i="18"/>
  <c r="AA160" i="18"/>
  <c r="AA152" i="18"/>
  <c r="AA144" i="18"/>
  <c r="AA136" i="18"/>
  <c r="AA128" i="18"/>
  <c r="AA120" i="18"/>
  <c r="AA112" i="18"/>
  <c r="AA104" i="18"/>
  <c r="AD202" i="18"/>
  <c r="AD194" i="18"/>
  <c r="AD186" i="18"/>
  <c r="AD178" i="18"/>
  <c r="AD170" i="18"/>
  <c r="AD162" i="18"/>
  <c r="AD154" i="18"/>
  <c r="AD146" i="18"/>
  <c r="AD138" i="18"/>
  <c r="AD130" i="18"/>
  <c r="AD122" i="18"/>
  <c r="AD114" i="18"/>
  <c r="AD106" i="18"/>
  <c r="AD98" i="18"/>
  <c r="AD90" i="18"/>
  <c r="AD82" i="18"/>
  <c r="AD74" i="18"/>
  <c r="AD66" i="18"/>
  <c r="AD58" i="18"/>
  <c r="AD50" i="18"/>
  <c r="AD42" i="18"/>
  <c r="AD34" i="18"/>
  <c r="AD26" i="18"/>
  <c r="AD18" i="18"/>
  <c r="AD10" i="18"/>
  <c r="AG9" i="18"/>
  <c r="AG202" i="18"/>
  <c r="AG194" i="18"/>
  <c r="AG186" i="18"/>
  <c r="AG178" i="18"/>
  <c r="AG170" i="18"/>
  <c r="AG162" i="18"/>
  <c r="AG154" i="18"/>
  <c r="AG146" i="18"/>
  <c r="AG138" i="18"/>
  <c r="AG130" i="18"/>
  <c r="AG122" i="18"/>
  <c r="AG114" i="18"/>
  <c r="AG98" i="18"/>
  <c r="AG76" i="18"/>
  <c r="AG68" i="18"/>
  <c r="AG62" i="18"/>
  <c r="AG54" i="18"/>
  <c r="AG31" i="18"/>
  <c r="AG23" i="18"/>
  <c r="AJ10" i="18"/>
  <c r="AA7" i="18"/>
  <c r="AA15" i="18"/>
  <c r="AA30" i="18"/>
  <c r="AA22" i="18"/>
  <c r="AA97" i="18"/>
  <c r="AA89" i="18"/>
  <c r="AA81" i="18"/>
  <c r="AA73" i="18"/>
  <c r="AA190" i="18"/>
  <c r="AA110" i="18"/>
  <c r="AD200" i="18"/>
  <c r="AD192" i="18"/>
  <c r="AD184" i="18"/>
  <c r="AD176" i="18"/>
  <c r="AD168" i="18"/>
  <c r="AD160" i="18"/>
  <c r="AD152" i="18"/>
  <c r="AD144" i="18"/>
  <c r="AD136" i="18"/>
  <c r="AD128" i="18"/>
  <c r="AD120" i="18"/>
  <c r="AD112" i="18"/>
  <c r="AD104" i="18"/>
  <c r="AG4" i="18"/>
  <c r="AG192" i="18"/>
  <c r="AG184" i="18"/>
  <c r="AG176" i="18"/>
  <c r="AG168" i="18"/>
  <c r="AG160" i="18"/>
  <c r="AG152" i="18"/>
  <c r="AG144" i="18"/>
  <c r="AG136" i="18"/>
  <c r="AG128" i="18"/>
  <c r="AG120" i="18"/>
  <c r="AG112" i="18"/>
  <c r="AG104" i="18"/>
  <c r="AG89" i="18"/>
  <c r="AG74" i="18"/>
  <c r="AG66" i="18"/>
  <c r="AG44" i="18"/>
  <c r="AG36" i="18"/>
  <c r="AG30" i="18"/>
  <c r="AG22" i="18"/>
  <c r="AG14" i="18"/>
  <c r="AJ8" i="18"/>
  <c r="AA6" i="18"/>
  <c r="AA14" i="18"/>
  <c r="AA29" i="18"/>
  <c r="AA21" i="18"/>
  <c r="AA96" i="18"/>
  <c r="AA88" i="18"/>
  <c r="AA80" i="18"/>
  <c r="AA72" i="18"/>
  <c r="AA64" i="18"/>
  <c r="AA56" i="18"/>
  <c r="AA48" i="18"/>
  <c r="AA40" i="18"/>
  <c r="AA32" i="18"/>
  <c r="AA197" i="18"/>
  <c r="AA189" i="18"/>
  <c r="AA181" i="18"/>
  <c r="AA173" i="18"/>
  <c r="AA165" i="18"/>
  <c r="AA157" i="18"/>
  <c r="AA149" i="18"/>
  <c r="AA141" i="18"/>
  <c r="AA133" i="18"/>
  <c r="AA125" i="18"/>
  <c r="AA117" i="18"/>
  <c r="AA109" i="18"/>
  <c r="AD199" i="18"/>
  <c r="AD191" i="18"/>
  <c r="AD183" i="18"/>
  <c r="AD175" i="18"/>
  <c r="AD167" i="18"/>
  <c r="AD159" i="18"/>
  <c r="AD151" i="18"/>
  <c r="AD143" i="18"/>
  <c r="AD135" i="18"/>
  <c r="AD127" i="18"/>
  <c r="AD119" i="18"/>
  <c r="AD111" i="18"/>
  <c r="AD103" i="18"/>
  <c r="AD95" i="18"/>
  <c r="AD87" i="18"/>
  <c r="AD79" i="18"/>
  <c r="AD71" i="18"/>
  <c r="AD63" i="18"/>
  <c r="AD55" i="18"/>
  <c r="AD47" i="18"/>
  <c r="AD39" i="18"/>
  <c r="AG6" i="18"/>
  <c r="AG80" i="18"/>
  <c r="AA180" i="18"/>
  <c r="AD102" i="18"/>
  <c r="AD94" i="18"/>
  <c r="AG182" i="18"/>
  <c r="AG174" i="18"/>
  <c r="AG166" i="18"/>
  <c r="AG158" i="18"/>
  <c r="AG150" i="18"/>
  <c r="AG142" i="18"/>
  <c r="AG134" i="18"/>
  <c r="AG126" i="18"/>
  <c r="AG118" i="18"/>
  <c r="AG110" i="18"/>
  <c r="AG102" i="18"/>
  <c r="AG95" i="18"/>
  <c r="AG87" i="18"/>
  <c r="AJ14" i="18"/>
  <c r="AJ6" i="18"/>
  <c r="AD31" i="18"/>
  <c r="AG48" i="18"/>
  <c r="AJ32" i="18"/>
  <c r="AA19" i="18"/>
  <c r="AA11" i="18"/>
  <c r="AA26" i="18"/>
  <c r="AA101" i="18"/>
  <c r="AA93" i="18"/>
  <c r="AA85" i="18"/>
  <c r="AA77" i="18"/>
  <c r="AA69" i="18"/>
  <c r="AA61" i="18"/>
  <c r="AA53" i="18"/>
  <c r="AA45" i="18"/>
  <c r="AA37" i="18"/>
  <c r="AA202" i="18"/>
  <c r="AA194" i="18"/>
  <c r="AA186" i="18"/>
  <c r="AA178" i="18"/>
  <c r="AA170" i="18"/>
  <c r="AA162" i="18"/>
  <c r="AA154" i="18"/>
  <c r="AA146" i="18"/>
  <c r="AA138" i="18"/>
  <c r="AA130" i="18"/>
  <c r="AA122" i="18"/>
  <c r="AA114" i="18"/>
  <c r="AA106" i="18"/>
  <c r="AD4" i="18"/>
  <c r="AD196" i="18"/>
  <c r="AD188" i="18"/>
  <c r="AD180" i="18"/>
  <c r="AD172" i="18"/>
  <c r="AD164" i="18"/>
  <c r="AD156" i="18"/>
  <c r="AD148" i="18"/>
  <c r="AD140" i="18"/>
  <c r="AD132" i="18"/>
  <c r="AD124" i="18"/>
  <c r="AD116" i="18"/>
  <c r="AD108" i="18"/>
  <c r="AD100" i="18"/>
  <c r="AD92" i="18"/>
  <c r="AD84" i="18"/>
  <c r="AD76" i="18"/>
  <c r="AD68" i="18"/>
  <c r="AD60" i="18"/>
  <c r="AD52" i="18"/>
  <c r="AD44" i="18"/>
  <c r="AD36" i="18"/>
  <c r="AD28" i="18"/>
  <c r="AD20" i="18"/>
  <c r="AD12" i="18"/>
  <c r="AG196" i="18"/>
  <c r="AG188" i="18"/>
  <c r="AG180" i="18"/>
  <c r="AG172" i="18"/>
  <c r="AG164" i="18"/>
  <c r="AG156" i="18"/>
  <c r="AG148" i="18"/>
  <c r="AG140" i="18"/>
  <c r="AG132" i="18"/>
  <c r="AG124" i="18"/>
  <c r="AG116" i="18"/>
  <c r="AG100" i="18"/>
  <c r="AG93" i="18"/>
  <c r="AG63" i="18"/>
  <c r="AG55" i="18"/>
  <c r="AJ12" i="18"/>
  <c r="AJ4" i="18"/>
  <c r="AJ15" i="18"/>
  <c r="AD6" i="18"/>
  <c r="AG10" i="18"/>
  <c r="AG201" i="18"/>
  <c r="AG193" i="18"/>
  <c r="AG185" i="18"/>
  <c r="AG177" i="18"/>
  <c r="AG169" i="18"/>
  <c r="AG161" i="18"/>
  <c r="AG153" i="18"/>
  <c r="AG145" i="18"/>
  <c r="AG137" i="18"/>
  <c r="AG129" i="18"/>
  <c r="AG121" i="18"/>
  <c r="AG113" i="18"/>
  <c r="AG106" i="18"/>
  <c r="AG99" i="18"/>
  <c r="AG86" i="18"/>
  <c r="AG67" i="18"/>
  <c r="AG42" i="18"/>
  <c r="AG35" i="18"/>
  <c r="AJ197" i="18"/>
  <c r="AG105" i="18"/>
  <c r="AG85" i="18"/>
  <c r="AG72" i="18"/>
  <c r="AG40" i="18"/>
  <c r="AG15" i="18"/>
  <c r="AJ13" i="18"/>
  <c r="AG199" i="18"/>
  <c r="AG191" i="18"/>
  <c r="AG183" i="18"/>
  <c r="AG175" i="18"/>
  <c r="AG167" i="18"/>
  <c r="AG159" i="18"/>
  <c r="AG151" i="18"/>
  <c r="AG143" i="18"/>
  <c r="AG135" i="18"/>
  <c r="AG127" i="18"/>
  <c r="AG119" i="18"/>
  <c r="AG111" i="18"/>
  <c r="AG97" i="18"/>
  <c r="AG91" i="18"/>
  <c r="AG78" i="18"/>
  <c r="AG65" i="18"/>
  <c r="AG59" i="18"/>
  <c r="AG34" i="18"/>
  <c r="AG27" i="18"/>
  <c r="AJ19" i="18"/>
  <c r="AG197" i="18"/>
  <c r="AG189" i="18"/>
  <c r="AG181" i="18"/>
  <c r="AG173" i="18"/>
  <c r="AG165" i="18"/>
  <c r="AG157" i="18"/>
  <c r="AG149" i="18"/>
  <c r="AG141" i="18"/>
  <c r="AG133" i="18"/>
  <c r="AG125" i="18"/>
  <c r="AG117" i="18"/>
  <c r="AG103" i="18"/>
  <c r="AG83" i="18"/>
  <c r="AG70" i="18"/>
  <c r="AG58" i="18"/>
  <c r="AG51" i="18"/>
  <c r="AG26" i="18"/>
  <c r="AG19" i="18"/>
  <c r="AG108" i="18"/>
  <c r="AG88" i="18"/>
  <c r="AG69" i="18"/>
  <c r="AG56" i="18"/>
  <c r="AG24" i="18"/>
  <c r="AJ9" i="18"/>
  <c r="AJ24" i="18"/>
  <c r="AJ16" i="18"/>
  <c r="AG203" i="18"/>
  <c r="AG195" i="18"/>
  <c r="AG187" i="18"/>
  <c r="AG179" i="18"/>
  <c r="AG171" i="18"/>
  <c r="AG163" i="18"/>
  <c r="AG155" i="18"/>
  <c r="AG147" i="18"/>
  <c r="AG139" i="18"/>
  <c r="AG131" i="18"/>
  <c r="AG123" i="18"/>
  <c r="AG115" i="18"/>
  <c r="AG101" i="18"/>
  <c r="AG94" i="18"/>
  <c r="AG81" i="18"/>
  <c r="AG75" i="18"/>
  <c r="AG50" i="18"/>
  <c r="AG43" i="18"/>
  <c r="AG18" i="18"/>
  <c r="AJ23" i="18"/>
  <c r="AJ202" i="18"/>
  <c r="AJ198" i="18"/>
  <c r="AJ194" i="18"/>
  <c r="AJ190" i="18"/>
  <c r="AJ186" i="18"/>
  <c r="AJ182" i="18"/>
  <c r="AJ178" i="18"/>
  <c r="AJ174" i="18"/>
  <c r="AJ170" i="18"/>
  <c r="AJ166" i="18"/>
  <c r="AJ162" i="18"/>
  <c r="AJ158" i="18"/>
  <c r="AJ154" i="18"/>
  <c r="AJ150" i="18"/>
  <c r="AJ146" i="18"/>
  <c r="AJ142" i="18"/>
  <c r="AJ138" i="18"/>
  <c r="AJ134" i="18"/>
  <c r="AJ130" i="18"/>
  <c r="AJ126" i="18"/>
  <c r="AJ122" i="18"/>
  <c r="AJ118" i="18"/>
  <c r="AJ114" i="18"/>
  <c r="AJ110" i="18"/>
  <c r="AJ106" i="18"/>
  <c r="AJ102" i="18"/>
  <c r="AJ98" i="18"/>
  <c r="AJ94" i="18"/>
  <c r="AJ90" i="18"/>
  <c r="AJ86" i="18"/>
  <c r="AJ82" i="18"/>
  <c r="AJ78" i="18"/>
  <c r="AJ74" i="18"/>
  <c r="AJ70" i="18"/>
  <c r="AJ66" i="18"/>
  <c r="AJ62" i="18"/>
  <c r="AJ58" i="18"/>
  <c r="AJ54" i="18"/>
  <c r="AJ50" i="18"/>
  <c r="AJ46" i="18"/>
  <c r="AJ42" i="18"/>
  <c r="AJ38" i="18"/>
  <c r="AJ34" i="18"/>
  <c r="AJ30" i="18"/>
  <c r="AJ26" i="18"/>
  <c r="AJ22" i="18"/>
  <c r="AJ18" i="18"/>
  <c r="AJ201" i="18"/>
  <c r="AJ193" i="18"/>
  <c r="AJ189" i="18"/>
  <c r="AJ185" i="18"/>
  <c r="AJ181" i="18"/>
  <c r="AJ177" i="18"/>
  <c r="AJ173" i="18"/>
  <c r="AJ169" i="18"/>
  <c r="AJ165" i="18"/>
  <c r="AJ161" i="18"/>
  <c r="AJ157" i="18"/>
  <c r="AJ153" i="18"/>
  <c r="AJ149" i="18"/>
  <c r="AJ145" i="18"/>
  <c r="AJ141" i="18"/>
  <c r="AJ137" i="18"/>
  <c r="AJ133" i="18"/>
  <c r="AJ129" i="18"/>
  <c r="AJ125" i="18"/>
  <c r="AJ121" i="18"/>
  <c r="AJ117" i="18"/>
  <c r="AJ113" i="18"/>
  <c r="AJ109" i="18"/>
  <c r="AJ105" i="18"/>
  <c r="AJ101" i="18"/>
  <c r="AJ97" i="18"/>
  <c r="AJ93" i="18"/>
  <c r="AJ89" i="18"/>
  <c r="AJ85" i="18"/>
  <c r="AJ81" i="18"/>
  <c r="AJ77" i="18"/>
  <c r="AJ73" i="18"/>
  <c r="AJ69" i="18"/>
  <c r="AJ65" i="18"/>
  <c r="AJ61" i="18"/>
  <c r="AJ57" i="18"/>
  <c r="AJ53" i="18"/>
  <c r="AJ49" i="18"/>
  <c r="AJ45" i="18"/>
  <c r="AJ41" i="18"/>
  <c r="AJ37" i="18"/>
  <c r="AJ33" i="18"/>
  <c r="AJ29" i="18"/>
  <c r="AJ25" i="18"/>
  <c r="AJ21" i="18"/>
  <c r="AJ17" i="18"/>
  <c r="AG61" i="18"/>
  <c r="AG57" i="18"/>
  <c r="AG53" i="18"/>
  <c r="AG49" i="18"/>
  <c r="AG45" i="18"/>
  <c r="AG41" i="18"/>
  <c r="AG37" i="18"/>
  <c r="AG33" i="18"/>
  <c r="AG29" i="18"/>
  <c r="AG25" i="18"/>
  <c r="AG21" i="18"/>
  <c r="AG17" i="18"/>
  <c r="C36" i="17" l="1"/>
  <c r="L12" i="20"/>
  <c r="L13" i="20" s="1"/>
  <c r="B5" i="17"/>
  <c r="B6" i="17"/>
  <c r="G2" i="17"/>
  <c r="C5" i="17"/>
  <c r="G12" i="17"/>
  <c r="H13" i="20"/>
  <c r="H14" i="20" l="1"/>
  <c r="G6" i="17"/>
  <c r="G7" i="17"/>
  <c r="C24" i="20"/>
  <c r="C18" i="20"/>
  <c r="D18" i="20" s="1"/>
  <c r="C19" i="20"/>
  <c r="D19" i="20" s="1"/>
  <c r="C20" i="20"/>
  <c r="C21" i="20"/>
  <c r="C22" i="20"/>
  <c r="C23" i="20"/>
  <c r="C25" i="20"/>
  <c r="C26" i="20"/>
  <c r="C27" i="20"/>
  <c r="C28" i="20"/>
  <c r="C29" i="20"/>
  <c r="C17" i="20"/>
  <c r="D17" i="20" s="1"/>
  <c r="C16" i="20"/>
  <c r="D16" i="20" s="1"/>
  <c r="C4" i="20"/>
  <c r="D4" i="20" s="1"/>
  <c r="C5" i="20"/>
  <c r="D5" i="20" s="1"/>
  <c r="C6" i="20"/>
  <c r="D6" i="20" s="1"/>
  <c r="C7" i="20"/>
  <c r="D7" i="20" s="1"/>
  <c r="C8" i="20"/>
  <c r="D8" i="20" s="1"/>
  <c r="C9" i="20"/>
  <c r="D9" i="20" s="1"/>
  <c r="C10" i="20"/>
  <c r="D10" i="20" s="1"/>
  <c r="C11" i="20"/>
  <c r="D11" i="20" s="1"/>
  <c r="C12" i="20"/>
  <c r="D12" i="20" s="1"/>
  <c r="C13" i="20"/>
  <c r="D13" i="20" s="1"/>
  <c r="C14" i="20"/>
  <c r="D14" i="20" s="1"/>
  <c r="C15" i="20"/>
  <c r="D15" i="20" s="1"/>
  <c r="C3" i="20"/>
  <c r="D3" i="20" s="1"/>
  <c r="G4" i="17"/>
  <c r="G5" i="17" l="1"/>
  <c r="E3" i="17"/>
  <c r="G11" i="17"/>
  <c r="G1" i="17"/>
  <c r="B129" i="18"/>
  <c r="B128" i="18"/>
  <c r="B127" i="18"/>
  <c r="B124" i="18"/>
  <c r="B121" i="18"/>
  <c r="B118" i="18"/>
  <c r="B115" i="18"/>
  <c r="B112" i="18"/>
  <c r="B109" i="18"/>
  <c r="B141" i="18"/>
  <c r="B140" i="18"/>
  <c r="B137" i="18"/>
  <c r="B136" i="18"/>
  <c r="B133" i="18"/>
  <c r="B132" i="18"/>
  <c r="B106" i="18"/>
  <c r="B105" i="18"/>
  <c r="B102" i="18"/>
  <c r="B99" i="18"/>
  <c r="B98" i="18"/>
  <c r="B95" i="18"/>
  <c r="B94" i="18"/>
  <c r="B91" i="18"/>
  <c r="B90" i="18"/>
  <c r="B89" i="18"/>
  <c r="B86" i="18"/>
  <c r="B83" i="18"/>
  <c r="B82" i="18"/>
  <c r="B79" i="18"/>
  <c r="B78" i="18"/>
  <c r="B75" i="18"/>
  <c r="B72" i="18"/>
  <c r="B71" i="18"/>
  <c r="B68" i="18"/>
  <c r="B65" i="18"/>
  <c r="B64" i="18"/>
  <c r="B61" i="18"/>
  <c r="B60" i="18"/>
  <c r="B57" i="18"/>
  <c r="B56" i="18"/>
  <c r="B53" i="18"/>
  <c r="B52" i="18"/>
  <c r="B49" i="18"/>
  <c r="B46" i="18"/>
  <c r="B43" i="18"/>
  <c r="B42" i="18"/>
  <c r="B39" i="18"/>
  <c r="B38" i="18"/>
  <c r="G14" i="17"/>
  <c r="G15" i="17" l="1"/>
  <c r="E30" i="18"/>
  <c r="F30" i="18"/>
  <c r="G30" i="18"/>
  <c r="J30" i="18"/>
  <c r="H30" i="18"/>
  <c r="B30" i="18"/>
  <c r="D30" i="18"/>
  <c r="I30" i="18"/>
  <c r="C30" i="18"/>
  <c r="A30" i="18"/>
  <c r="B35" i="18"/>
  <c r="B34" i="18"/>
  <c r="B33" i="18"/>
  <c r="E2" i="17"/>
  <c r="G13" i="17" l="1"/>
  <c r="R1" i="18" a="1"/>
  <c r="R8" i="18" s="1"/>
  <c r="R7" i="18" l="1"/>
  <c r="R9" i="18"/>
  <c r="R6" i="18"/>
  <c r="R1" i="18"/>
  <c r="R5" i="18"/>
  <c r="R4" i="18"/>
  <c r="R3" i="18"/>
  <c r="R10" i="18"/>
  <c r="R2" i="18"/>
  <c r="J28" i="18"/>
  <c r="C28" i="18"/>
  <c r="D28" i="18"/>
  <c r="E28" i="18"/>
  <c r="F28" i="18"/>
  <c r="G28" i="18"/>
  <c r="H28" i="18"/>
  <c r="I28" i="18"/>
  <c r="B28" i="18"/>
  <c r="A28" i="18"/>
  <c r="G3" i="17" l="1"/>
  <c r="G9" i="17"/>
  <c r="Q1" i="18" a="1"/>
  <c r="Q4" i="18" l="1"/>
  <c r="Q5" i="18"/>
  <c r="Q6" i="18"/>
  <c r="Q7" i="18"/>
  <c r="Q8" i="18"/>
  <c r="Q1" i="18"/>
  <c r="Q9" i="18"/>
  <c r="Q2" i="18"/>
  <c r="Q3" i="18"/>
  <c r="Q10" i="18"/>
  <c r="C26" i="17" l="1"/>
  <c r="C23" i="17"/>
  <c r="C24" i="17"/>
  <c r="C28" i="17"/>
  <c r="C25" i="17"/>
  <c r="C29" i="17"/>
  <c r="C27" i="17"/>
  <c r="C31" i="17"/>
  <c r="C32" i="17"/>
  <c r="C30" i="17"/>
</calcChain>
</file>

<file path=xl/sharedStrings.xml><?xml version="1.0" encoding="utf-8"?>
<sst xmlns="http://schemas.openxmlformats.org/spreadsheetml/2006/main" count="956" uniqueCount="547">
  <si>
    <t>Barbarian</t>
  </si>
  <si>
    <t>Damage Per Second</t>
  </si>
  <si>
    <t>Average Damage</t>
  </si>
  <si>
    <t>Seconds Per Attack</t>
  </si>
  <si>
    <t>Defence</t>
  </si>
  <si>
    <t>Critical Chance</t>
  </si>
  <si>
    <t>Critical Damage</t>
  </si>
  <si>
    <t>Health Points</t>
  </si>
  <si>
    <t>Health Regen</t>
  </si>
  <si>
    <t>%</t>
  </si>
  <si>
    <t>Adaptive Damage</t>
  </si>
  <si>
    <t>Damage Multiplier</t>
  </si>
  <si>
    <t>Damage</t>
  </si>
  <si>
    <t>Melee Damage</t>
  </si>
  <si>
    <t>Ranged Damage</t>
  </si>
  <si>
    <t>Physical Damage</t>
  </si>
  <si>
    <t>Damage Over Time</t>
  </si>
  <si>
    <t>Fire Damage</t>
  </si>
  <si>
    <t>Lightning Damage</t>
  </si>
  <si>
    <t>Elemental Damage</t>
  </si>
  <si>
    <t>Attack Speed</t>
  </si>
  <si>
    <t>Attack Speed Multiplier</t>
  </si>
  <si>
    <t>Health Multiplier</t>
  </si>
  <si>
    <t>= (Default HP + HP from equipment) * Health Multiplier</t>
  </si>
  <si>
    <t>Lvl 150</t>
  </si>
  <si>
    <t>= 100*1.1*1.1</t>
  </si>
  <si>
    <t>multiplicative with each other NOT additive</t>
  </si>
  <si>
    <t>Warrior Passive: More Health Lvl 4 = 10%   X   Barbarian Passive: More Health Lvl 5 = 10%</t>
  </si>
  <si>
    <t>Quick Slash</t>
  </si>
  <si>
    <t>Critical Multiplier</t>
  </si>
  <si>
    <t>Sec/Atk</t>
  </si>
  <si>
    <t>16.73K</t>
  </si>
  <si>
    <t>33.46K</t>
  </si>
  <si>
    <t>Boss Damage Multiplier</t>
  </si>
  <si>
    <t>Cold Damage</t>
  </si>
  <si>
    <t>Arcane Damage</t>
  </si>
  <si>
    <t>Double Damage</t>
  </si>
  <si>
    <t>Triple Damage</t>
  </si>
  <si>
    <t>Magic Damage</t>
  </si>
  <si>
    <t>Offensive Attributes:</t>
  </si>
  <si>
    <t>Class:</t>
  </si>
  <si>
    <t>Warrior</t>
  </si>
  <si>
    <t>Ranger</t>
  </si>
  <si>
    <t>Mage</t>
  </si>
  <si>
    <t>Classes:</t>
  </si>
  <si>
    <t>Warrior Ascendancies:</t>
  </si>
  <si>
    <t>Ranger Ascendancies:</t>
  </si>
  <si>
    <t>Mage Ascendancies:</t>
  </si>
  <si>
    <t>Warden</t>
  </si>
  <si>
    <t>Juggarnaut</t>
  </si>
  <si>
    <t>Marksman</t>
  </si>
  <si>
    <t>Assassin</t>
  </si>
  <si>
    <t>Renegade</t>
  </si>
  <si>
    <t>Vizier</t>
  </si>
  <si>
    <t>Archmage</t>
  </si>
  <si>
    <t>Battlemage</t>
  </si>
  <si>
    <t>N/A</t>
  </si>
  <si>
    <t>Default Attack:</t>
  </si>
  <si>
    <t>Offensive  Move:</t>
  </si>
  <si>
    <t>Warrior Defaults:</t>
  </si>
  <si>
    <t>Cleave</t>
  </si>
  <si>
    <t>Rend</t>
  </si>
  <si>
    <t>Sunder</t>
  </si>
  <si>
    <t>Taunting Blow</t>
  </si>
  <si>
    <t>Slam</t>
  </si>
  <si>
    <t>Fire Arrow</t>
  </si>
  <si>
    <t>Ranger Defaults:</t>
  </si>
  <si>
    <t>Mage Defaults:</t>
  </si>
  <si>
    <t>Fireball</t>
  </si>
  <si>
    <t>Arcane Explosion</t>
  </si>
  <si>
    <t>Frostbolt</t>
  </si>
  <si>
    <t>Frost Strike</t>
  </si>
  <si>
    <t>Chain Lightning</t>
  </si>
  <si>
    <t>Thunderbolt</t>
  </si>
  <si>
    <t>Meteor</t>
  </si>
  <si>
    <t>Quick Draw</t>
  </si>
  <si>
    <t>Disable</t>
  </si>
  <si>
    <t>Explosive Shot</t>
  </si>
  <si>
    <t>Poison Sting</t>
  </si>
  <si>
    <t>Vigilance</t>
  </si>
  <si>
    <t>Barrage</t>
  </si>
  <si>
    <t>Snipe</t>
  </si>
  <si>
    <t>Warrior Offensive:</t>
  </si>
  <si>
    <t>Ranger Offensive:</t>
  </si>
  <si>
    <t>Mage Offensive:</t>
  </si>
  <si>
    <t>Warrior Defensive:</t>
  </si>
  <si>
    <t>Ranger Defensive:</t>
  </si>
  <si>
    <t>Mage Defensive:</t>
  </si>
  <si>
    <t>Blade Flurry</t>
  </si>
  <si>
    <t>Pin Down</t>
  </si>
  <si>
    <t>Rain Of Arrows</t>
  </si>
  <si>
    <t>Smokescreen</t>
  </si>
  <si>
    <t>Crippling Poison</t>
  </si>
  <si>
    <t>Vanish</t>
  </si>
  <si>
    <t>Stasis</t>
  </si>
  <si>
    <t>Frost Nova</t>
  </si>
  <si>
    <t>Arcane Cloak</t>
  </si>
  <si>
    <t>Firestorm</t>
  </si>
  <si>
    <t>Arcane Torrent</t>
  </si>
  <si>
    <t>Blizzard</t>
  </si>
  <si>
    <t>Ground Slam</t>
  </si>
  <si>
    <t>Imposing Cry</t>
  </si>
  <si>
    <t>Defensive Stance</t>
  </si>
  <si>
    <t>Armour Break</t>
  </si>
  <si>
    <t>Earthquake</t>
  </si>
  <si>
    <t>Dragons Roar</t>
  </si>
  <si>
    <t>Standard</t>
  </si>
  <si>
    <t>Lightning</t>
  </si>
  <si>
    <t>Cold</t>
  </si>
  <si>
    <t>Ranged</t>
  </si>
  <si>
    <t>With Lightning</t>
  </si>
  <si>
    <t>With Fire</t>
  </si>
  <si>
    <t>With Cold</t>
  </si>
  <si>
    <t>Melee</t>
  </si>
  <si>
    <t>With Maelstrom</t>
  </si>
  <si>
    <t>Arcane</t>
  </si>
  <si>
    <t>Quick Slash Formulas</t>
  </si>
  <si>
    <t>What Increases The Damage Of:</t>
  </si>
  <si>
    <t>Melee Damage, Elemental Damage, Direct Damage</t>
  </si>
  <si>
    <t>Melee Damage, Lightning Damage, Elemental Damage, Direct Damage</t>
  </si>
  <si>
    <t>Melee Damage, Fire Damage, Elemental Damage, Direct Damage</t>
  </si>
  <si>
    <t>Lowest Damage</t>
  </si>
  <si>
    <t>Highest Damage</t>
  </si>
  <si>
    <t>Mastery Lvl.</t>
  </si>
  <si>
    <t>Weapon Stats:</t>
  </si>
  <si>
    <t>This Column</t>
  </si>
  <si>
    <t>Only Change Values In</t>
  </si>
  <si>
    <t>Click me me for more info about the 2 columns</t>
  </si>
  <si>
    <t>Bonus Damage</t>
  </si>
  <si>
    <t>Q:</t>
  </si>
  <si>
    <t>A:</t>
  </si>
  <si>
    <t>Do you plan on adding ______?</t>
  </si>
  <si>
    <t>Did you know that the formula you use for Average Damage doesn't equal the game's Average Damage exactly?</t>
  </si>
  <si>
    <t>WTF is Rubber Duck Debugging?</t>
  </si>
  <si>
    <t>https://en.wikipedia.org/wiki/Rubber_duck_debugging</t>
  </si>
  <si>
    <t>Why don't you just merge some cells to make things look better?</t>
  </si>
  <si>
    <t>Did you know that you spelled ______ wrong?</t>
  </si>
  <si>
    <t>Probably not, I'm dyslexic… very dyslexic… like I wasn't supposed to pass middle school due to my dyslexia. If a word is spelled wrong let me know and I'll update it.</t>
  </si>
  <si>
    <t>Why is ______ arranged the way it is?</t>
  </si>
  <si>
    <t>Tell me :)</t>
  </si>
  <si>
    <t>Cleave Formulas</t>
  </si>
  <si>
    <t>Rend Formulas</t>
  </si>
  <si>
    <t>Sunder Formulas</t>
  </si>
  <si>
    <t>Taunting Blow Formulas</t>
  </si>
  <si>
    <t>Slam Formulas</t>
  </si>
  <si>
    <t>Fire Arrow Formulas</t>
  </si>
  <si>
    <t>Armour Break Formulas</t>
  </si>
  <si>
    <t>Quick Draw Formulas</t>
  </si>
  <si>
    <t>Disable Formulas</t>
  </si>
  <si>
    <t>Explosive Shot Formulas</t>
  </si>
  <si>
    <t>Poison Sting Formulas</t>
  </si>
  <si>
    <t>Vigilance Formulas</t>
  </si>
  <si>
    <t>Barrage Formulas</t>
  </si>
  <si>
    <t>Snipe Formulas</t>
  </si>
  <si>
    <t>My main reasoning is backwards compatibility (habit). A lot of awesome functions are only available in newer versions of Excel and won’t work on older ones.</t>
  </si>
  <si>
    <t>However, the functions I’m using are available since at least 2010 (probably earlier), and this allows for more people to use the spreadsheet.</t>
  </si>
  <si>
    <t>Why didn't you use the function IFNA, XLOOKUP, TEXTBEFORE/AFTER/SPLIT, CONCAT/TEXTJOIN,… Why not at least use the IFS function!?!?!?</t>
  </si>
  <si>
    <t>I know a lot of people and businesses who still use Office 2010 and it’s still available online.</t>
  </si>
  <si>
    <t>Melee Damage, Physical Damage, Area Damage</t>
  </si>
  <si>
    <t>Melee Damage, Damage Over Time, Physical Damage, Direct Damage</t>
  </si>
  <si>
    <t>Ranged Damage, Damage Over Time, Physical Damage, Direct Damage</t>
  </si>
  <si>
    <t>You missed a skill variation.</t>
  </si>
  <si>
    <t>Melee Damage, Physical Damage, Direct Damage</t>
  </si>
  <si>
    <t>Melee Damage, Cold Damage, Elemental Damage, Direct Damage</t>
  </si>
  <si>
    <t>Ranged Damage, Fire Damage, Elemental Damage, Direct Damage</t>
  </si>
  <si>
    <t>Ranged Damage, Lightning Damage, Elemental Damage, Direct Damage</t>
  </si>
  <si>
    <t>Physical Damage, Direct Damage</t>
  </si>
  <si>
    <t>Lightning Damage, Elemental Damage, Direct Damage</t>
  </si>
  <si>
    <t>Physical Damage, Area Damage</t>
  </si>
  <si>
    <t>Fire Damage, Elemental Damage, Area Damage</t>
  </si>
  <si>
    <t>Ranged Damage, Physical Damage, Direct Damage</t>
  </si>
  <si>
    <t>Ranged Damage, Cold Damage, Elemental Damage, Direct Damage</t>
  </si>
  <si>
    <t>Ranged Damage, Physical Damage, Area Damage</t>
  </si>
  <si>
    <t>Ranged Damage, Fire Damage, Elemental Damage, Area Damage</t>
  </si>
  <si>
    <t>Ranged Damage, Lightning Damage, Elemental Damage, Area Damage</t>
  </si>
  <si>
    <t>Cold Damage, Elemental Damage, Direct Damage</t>
  </si>
  <si>
    <t>Damage Over Time, Physical Damage, Direct Damage</t>
  </si>
  <si>
    <t>Arcane Damage, Elemental Damage, Area Damage</t>
  </si>
  <si>
    <t>Arcane Damage, Elemental Damage, Direct Damage</t>
  </si>
  <si>
    <t>Cold Damage, Elemental Damage, Area Damage</t>
  </si>
  <si>
    <t>Lightning Damage, Elemental Damage, Area Damage</t>
  </si>
  <si>
    <t>Magic Damage, Fire Damage, Elemental Damage, Direct Damage</t>
  </si>
  <si>
    <t>Magic Damage, Arcane Damage, Elemental Damage, Direct Damage</t>
  </si>
  <si>
    <t>Magic Damage, Cold Damage, Elemental Damage, Direct Damage</t>
  </si>
  <si>
    <t>Magic Damage, Lightning Damage, Elemental Damage, Direct Damage</t>
  </si>
  <si>
    <t>Magic Damage, Fire Damage, Cold Damage, Lightning Damage, Arcane Damage, Elemental Damage, Direct Damage</t>
  </si>
  <si>
    <t>Melee Damage, Cold Damage, Elemental Damage, Area Damage</t>
  </si>
  <si>
    <t>Dragons Roar Formulas</t>
  </si>
  <si>
    <t>Earthquake Formulas</t>
  </si>
  <si>
    <t>Blade Flurry Formulas</t>
  </si>
  <si>
    <t>Pin Down Formulas</t>
  </si>
  <si>
    <t>Rain Of Arrows Formulas</t>
  </si>
  <si>
    <t>Fireball Formulas</t>
  </si>
  <si>
    <t>Arcane Explosion Formulas</t>
  </si>
  <si>
    <t>Frostbolt Formulas</t>
  </si>
  <si>
    <t>Frost Strike Formulas</t>
  </si>
  <si>
    <t>Chain Lightning Formulas</t>
  </si>
  <si>
    <t>Thunderbolt Formulas</t>
  </si>
  <si>
    <t>Meteor Formulas</t>
  </si>
  <si>
    <t>Firestorm Formulas</t>
  </si>
  <si>
    <t>Arcane Torrent Formulas</t>
  </si>
  <si>
    <t>Blizzard Formulas</t>
  </si>
  <si>
    <r>
      <t xml:space="preserve">*Formula for </t>
    </r>
    <r>
      <rPr>
        <b/>
        <u/>
        <sz val="11"/>
        <color theme="1"/>
        <rFont val="Calibri"/>
        <family val="2"/>
        <scheme val="minor"/>
      </rPr>
      <t>AVERAGE</t>
    </r>
    <r>
      <rPr>
        <sz val="11"/>
        <color theme="1"/>
        <rFont val="Calibri"/>
        <family val="2"/>
        <scheme val="minor"/>
      </rPr>
      <t xml:space="preserve"> attack:</t>
    </r>
  </si>
  <si>
    <t>Are you going to include Mastery Points into the equations?</t>
  </si>
  <si>
    <t>I really don't want to. The inclusion of them will obviously make a difference, but I started making this to help better visualize how the different Character Stats interacted with each other… But I might add them at some point.</t>
  </si>
  <si>
    <t>Average Damage / Seconds Per Attack</t>
  </si>
  <si>
    <t>*Formula for Seconds Per Attack:</t>
  </si>
  <si>
    <t>*Calculated Seconds Per Attack:</t>
  </si>
  <si>
    <t>*Formula for Damage Per Second:</t>
  </si>
  <si>
    <t>*Calculated Damage Per Second:</t>
  </si>
  <si>
    <t>Some (many) formulas work better when cells are not merged. Many functions can't even process merged cells correctly. Trust me I tried. Especially for the drop down lists.</t>
  </si>
  <si>
    <t>______ doesn't make sense to me / I have an idea on how to convey ______ better.</t>
  </si>
  <si>
    <t>Weapon #1</t>
  </si>
  <si>
    <t>Weapon #2</t>
  </si>
  <si>
    <t>You know you have unnecessary parentheses right?</t>
  </si>
  <si>
    <t>&lt;&lt;&lt; Set to 100% if not listed in your character sheet</t>
  </si>
  <si>
    <t>Also, many of the formulas are variable, so some of the parentheses may seem useless until certain conditions are met.</t>
  </si>
  <si>
    <t>Yup, that's because I've learned to never trust man's nor machine's ability to remember or use PEMDAS. Plus 'extra' parentheses can't hurt math formulas when placed correctly.</t>
  </si>
  <si>
    <t>Area Damage Multiplier</t>
  </si>
  <si>
    <t>Direct Damage Multiplier</t>
  </si>
  <si>
    <t>I did my best to show how each variable is being used within the formulas, while removing unnecessary 0s, as seeing something like: '(100 + 0)' seems worse than (100), in my opinion.</t>
  </si>
  <si>
    <t>Attribute Level</t>
  </si>
  <si>
    <t>Attribute Name</t>
  </si>
  <si>
    <t>Attribute Affect</t>
  </si>
  <si>
    <t>Health Regeneration</t>
  </si>
  <si>
    <t>Barrier</t>
  </si>
  <si>
    <t>Lightning Resistance</t>
  </si>
  <si>
    <t>Ranged Resistance</t>
  </si>
  <si>
    <t>Physical Resistance</t>
  </si>
  <si>
    <t>Cold Resistance</t>
  </si>
  <si>
    <t>Melee Resistance</t>
  </si>
  <si>
    <t>Arcane Resistance</t>
  </si>
  <si>
    <t>Evasion Rating</t>
  </si>
  <si>
    <t>Magic Resistance</t>
  </si>
  <si>
    <t>Fire Resistance</t>
  </si>
  <si>
    <t>Elemental Resistance</t>
  </si>
  <si>
    <t>Critical Strike chance over 100% now provides a chance to Double Critical</t>
  </si>
  <si>
    <t>It uses your critical chance over 100%. So for example if you had 115% Critical Chance you would have a 15% chance to deal a Double Crit (x2 Critical Damage).</t>
  </si>
  <si>
    <t>Weapon Damage %</t>
  </si>
  <si>
    <t>Attack Time %</t>
  </si>
  <si>
    <t>2H Weapon</t>
  </si>
  <si>
    <t>From Paragon Level</t>
  </si>
  <si>
    <t>To Paragon Level</t>
  </si>
  <si>
    <t>Orbs Needed</t>
  </si>
  <si>
    <t>How Many Orbs Do I Need?</t>
  </si>
  <si>
    <t>How Many Orbs will I Get?</t>
  </si>
  <si>
    <t>Paragon Level</t>
  </si>
  <si>
    <t>You Need</t>
  </si>
  <si>
    <t>You'll Get</t>
  </si>
  <si>
    <t>while a 10/10 Fire              Damage will be +968%</t>
  </si>
  <si>
    <t xml:space="preserve">e.g.,    a 10/10 Elemental Damage will be +484%, </t>
  </si>
  <si>
    <t>(on the same piece of equipment)</t>
  </si>
  <si>
    <t>Physical Resistance being the exception</t>
  </si>
  <si>
    <t>While leveling equipment stats, specific stats increase more than generic stats.</t>
  </si>
  <si>
    <t>#1 Transmute Attributes - Get the attributes you want first</t>
  </si>
  <si>
    <t>#2 Nemesis Infusion - Roll the dice and see if you like the outcome</t>
  </si>
  <si>
    <t>Order Of Operations At The Blacksmith:</t>
  </si>
  <si>
    <t>At Equipment Level 150</t>
  </si>
  <si>
    <t xml:space="preserve">Yes. </t>
  </si>
  <si>
    <t>Continue to #4</t>
  </si>
  <si>
    <t>No.</t>
  </si>
  <si>
    <t>Stop and save your materials</t>
  </si>
  <si>
    <t>#3 Continue or Stop - Do you like the Nemesis Infusion outcome?</t>
  </si>
  <si>
    <t>Ah, I see you’ve peered into the void. Welcome back. I also understand that you know Excel better than the average person. Good for you (seriously).</t>
  </si>
  <si>
    <t>I have (a):</t>
  </si>
  <si>
    <t>1H Weapon Only</t>
  </si>
  <si>
    <t>*Does not include: Mastery Points, Enchantments, or any type of Penetration</t>
  </si>
  <si>
    <t>Armour</t>
  </si>
  <si>
    <t>Points</t>
  </si>
  <si>
    <t>All Resistances</t>
  </si>
  <si>
    <t>Elemental Resistance increases all 4 elements resistances by the ammount shown and is already displayed correctly</t>
  </si>
  <si>
    <t>If the Character Sheet shows 300 Elemental Resistance and 500 Fire Resistance, it's really 300 + 200</t>
  </si>
  <si>
    <t>+0.2 Attack Speed Multiplier Per Ascendancy Level (+10%)</t>
  </si>
  <si>
    <t>---</t>
  </si>
  <si>
    <t>+2 Adaptive Damage Per Level (+400)</t>
  </si>
  <si>
    <t>+5% Damage Per Level (+1000%)</t>
  </si>
  <si>
    <t>+8 Armour Penetration Per Level (+1600)</t>
  </si>
  <si>
    <t>+20 Health Points Per Level (+4000)</t>
  </si>
  <si>
    <t>+0.1% Increased Armour Per Level (20%)</t>
  </si>
  <si>
    <t>+4 Physical Resistance Per Level (+800)</t>
  </si>
  <si>
    <t>+4 Melee Resistance Per Level (+800)</t>
  </si>
  <si>
    <t>+10 Armour Per Level (+2000)</t>
  </si>
  <si>
    <t>+2 Elemental Resistance Per Level (+400)</t>
  </si>
  <si>
    <t>Renegade Relic</t>
  </si>
  <si>
    <t>-0.2% Damage Taken Per Ascendancy Level (-10%)</t>
  </si>
  <si>
    <t>+0.1% Double Damage Per Level (+20%)</t>
  </si>
  <si>
    <t>+4 Ranged Resistance Per Level (+800)</t>
  </si>
  <si>
    <t>+5 Evasion Rating Per Level (+1000)</t>
  </si>
  <si>
    <t>+0.1% Increased Evasion Rating Per Level (20%)</t>
  </si>
  <si>
    <t>Vizier Relic</t>
  </si>
  <si>
    <t>+10% Magic Damage Per Level (+2000%)</t>
  </si>
  <si>
    <t>+0.1% Increased Barrier Per Level (+20%)</t>
  </si>
  <si>
    <t>+8 Barrier Per Level (+1600)</t>
  </si>
  <si>
    <t>+4 Magic Resistance Per Level (+800)</t>
  </si>
  <si>
    <t>Archmage Relic</t>
  </si>
  <si>
    <t>0.2% Damage Multiplier Per Ascendancy Level (+10%)</t>
  </si>
  <si>
    <t>+5% Damage Per Level (1000%)</t>
  </si>
  <si>
    <t>Warden Relic</t>
  </si>
  <si>
    <t>+10% Melee Damage Per Level (+2000%)</t>
  </si>
  <si>
    <t>0.1% Double Damage Per Level (+20%)</t>
  </si>
  <si>
    <t>+20 Health Points Per Level(+4000)</t>
  </si>
  <si>
    <t>+0.1% Increased Armour Per Level (+20%)</t>
  </si>
  <si>
    <t>Juggernaut Relic</t>
  </si>
  <si>
    <t>+0.2% Damage Multiplier Per Ascendancy Level (+10%)</t>
  </si>
  <si>
    <t>+10% Ranged Damage Per Level (+2000%)</t>
  </si>
  <si>
    <t>Assassin Relic</t>
  </si>
  <si>
    <t>+0.2% Attack Speed Multiplier Per Ascendancy Level (+10%)</t>
  </si>
  <si>
    <t>+0.1% Increased Evasion Rating Per Level (+20%)</t>
  </si>
  <si>
    <t>Marksman Relic</t>
  </si>
  <si>
    <t>+0.2% Damage Multiplier Per Asscendancy Level (+10%)</t>
  </si>
  <si>
    <t>+8 Armour Penetration Per Level (1600)</t>
  </si>
  <si>
    <t>Abyss Chests Opened</t>
  </si>
  <si>
    <t>Juggernaut</t>
  </si>
  <si>
    <t>+8 Barrier Per Level (+4000)</t>
  </si>
  <si>
    <t>0.1% Increased Barrier Per Level (+20%)</t>
  </si>
  <si>
    <t>0.1% Luck Per Level (+40%)</t>
  </si>
  <si>
    <t>0.2% Fate Per Level (+20%)</t>
  </si>
  <si>
    <r>
      <t>0.2</t>
    </r>
    <r>
      <rPr>
        <sz val="11"/>
        <color theme="1"/>
        <rFont val="Calibri"/>
        <family val="2"/>
        <scheme val="minor"/>
      </rPr>
      <t>% Wealth Per Level (+40)</t>
    </r>
  </si>
  <si>
    <t>+10% Melee Damage Per Level (2000%)</t>
  </si>
  <si>
    <t>+0.1% Attack Speed Per Level (+20%)</t>
  </si>
  <si>
    <t>0.2% Wealth Per Level (+40)</t>
  </si>
  <si>
    <t>Barbarian Relic</t>
  </si>
  <si>
    <t>Battlemage Relic</t>
  </si>
  <si>
    <t>+5 Damage Per Level (+1000%)</t>
  </si>
  <si>
    <t>+0.1% Increased Armour Per Level (+4000)</t>
  </si>
  <si>
    <t>Total Relics Received</t>
  </si>
  <si>
    <t>Mythical</t>
  </si>
  <si>
    <t>Assuming everything is at level 150:</t>
  </si>
  <si>
    <t xml:space="preserve">Resistance Damage Reduction % = (1 - (0.9^(Rating/180))) * 100 </t>
  </si>
  <si>
    <t xml:space="preserve">Armour Damage Reduction % = (1 - (0.5^(Rating/13068))) * 100 </t>
  </si>
  <si>
    <t xml:space="preserve">Evasion Chance % = (1 - (0.9^(Rating/1210))) * 100 </t>
  </si>
  <si>
    <t>Block Rating Damage Reduction % = (1 - (0.8^(Rating/968))) * 100</t>
  </si>
  <si>
    <t>points</t>
  </si>
  <si>
    <t>Ratio</t>
  </si>
  <si>
    <t>Block Rating</t>
  </si>
  <si>
    <t>28.68K</t>
  </si>
  <si>
    <t>14.34K</t>
  </si>
  <si>
    <t>23.9K</t>
  </si>
  <si>
    <t>11.95K</t>
  </si>
  <si>
    <t>Default Mage Stats</t>
  </si>
  <si>
    <t>Default Ranger Stats</t>
  </si>
  <si>
    <t>Cooldown Reduction: The Cooldown of Berserker Rage is reduced by (6*Points) Seconds</t>
  </si>
  <si>
    <t>Unending Rage: When a target is slain Berserker Rage is extended by an additional (0.4*Points) Seconds</t>
  </si>
  <si>
    <t>Ignore Pain: Reduces the Damage Taken penalty by (20%*Points) of its total</t>
  </si>
  <si>
    <t>Bloodthirst: While affected by Berserker Rage hitting a target will restore (0.3%*Points) of Max HP</t>
  </si>
  <si>
    <t>Enrage: While affected by Berserker Rage deal an additional (2%*Points) More Damage</t>
  </si>
  <si>
    <t>Juggernaut: Unwavering Stance: While affected by Unwavering Stance take 10% Less Damage and gain +20% Double Damage. Lasts 25 Seconds.</t>
  </si>
  <si>
    <t>Cooldown Reduction: The Cooldown of Unwavering Stance is reduced by (6*Points) Seconds</t>
  </si>
  <si>
    <t>Extra Protection: While affected by Unwavering Stance take an additional (1%*Points) Less Damage</t>
  </si>
  <si>
    <t>Heavy Blows: While affected by Unwavering Stance deal (2%*Points) More Damage</t>
  </si>
  <si>
    <t>Increased Duration: Unwavering Stance gains an additional (2*Points) Seconds duration</t>
  </si>
  <si>
    <t>Brutality: While affected by Unwavering Stance gain (+1%*Points) Triple Damage</t>
  </si>
  <si>
    <t>Warden: Bastion: While affected by Bastion take 20% Less Damage and gain +10% Block Chance and +100% Block Rating. Lasts 30 Seconds.</t>
  </si>
  <si>
    <t>Cooldown Reduction: The Cooldown of Bastion is reduced by (6*Points) Seconds</t>
  </si>
  <si>
    <t>Extra Protection: While affected by Bastion take an additional (2%*Points) Less Damage</t>
  </si>
  <si>
    <t>Replenishing Protection: While affected by Bastion whenever an attack is Blocked gain (0.6%*Points) of Max HP</t>
  </si>
  <si>
    <t>Impervious: While affected by Bastion gain (+10%*Points) Ailment Avoidance</t>
  </si>
  <si>
    <t>The Best Defence: While affected by Bastion deal (2%*Points) More Damage</t>
  </si>
  <si>
    <t>Assassin: Preparation: While affected by Preparation deal 20% More Damage on Full HP and gain +10 Dodge Chance. Lasts 20 Seconds.</t>
  </si>
  <si>
    <t>Cooldown Reduction: The Cooldown of Preparation is reduced by (6*Points) Seconds</t>
  </si>
  <si>
    <t>Careful Planning: While affected by Preparation deal an additional (2%*Points) More Damage on Full HP</t>
  </si>
  <si>
    <t>Rapid Strikes: While affected by Preparation gain (2%*Points) More Attack Speed</t>
  </si>
  <si>
    <t>New Contract: When a target is slain Preparation is extended by (0.5*Points) Seconds. Preparation cannot be extended beyond 20 Seconds</t>
  </si>
  <si>
    <t>Elusive: While affected by Preparation gain (+2%*Points) Dodge Chance for 10 Seconds when a target is slain</t>
  </si>
  <si>
    <t>Marksman: Aimbot: While affected by Aimbot gain +5% Critical Chance, +25% Critical Damage and deal 15% More Damage. Lasts 25 Seconds.</t>
  </si>
  <si>
    <t>Cooldown Reduction: The Cooldown of Aimbot is reduced by (6*Points) Seconds</t>
  </si>
  <si>
    <t>Sharpshooter: While affected by Aimbot gain (+1%*Points) Critical Chance and (+5%*Points) Critical Damage</t>
  </si>
  <si>
    <t>Increased Duration: Aimbot gains an additional (2*Points) Seconds duration</t>
  </si>
  <si>
    <t>Haste: While affected by Aimbot dealing a Critical Strike will grant (+4%*Points) Attack Speed for 10 Seconds</t>
  </si>
  <si>
    <t>Dodge Chance: While affected by Aimbot gain (+2%*Points) Dodge Chance</t>
  </si>
  <si>
    <t>Renegade: Survival Instincts: While affected by Survival Instincts gain +10% Double Damage, +10% Dodge Chance and take 10% Less Damage. Lasts 30 Seconds.</t>
  </si>
  <si>
    <t>Cooldown Reduction: The Cooldown of Survival Instincts is reduced by (6*Points) Seconds</t>
  </si>
  <si>
    <t>Extra Protection: While affected by Survival Instincts take an additional (2%*Points) Less Damage</t>
  </si>
  <si>
    <t>Dodge Chance: While affected by Survival Instincts gain (+2%*Points) Dodge Chance</t>
  </si>
  <si>
    <t>Tactical Advantage: While affected by Survival Instincts deal 2% More Damage</t>
  </si>
  <si>
    <t>Double Damage: While affected by Survival Instincts gain (+2%*Points) Double Damage</t>
  </si>
  <si>
    <t>Archmage: Evocation: While affected by Evocation gain +10% Double Damage and deal 10% More Damage. Lasts 25 Seconds.</t>
  </si>
  <si>
    <t>Cooldown Reduction: The Cooldown of Evocation is reduced by (6*Points) Seconds</t>
  </si>
  <si>
    <t>Critical Chance: While affected by Evocation gain (+2%*Points) Critical Chance</t>
  </si>
  <si>
    <t>Critical Damage: While affected by Evocation gain (+10%*Points) Critical Damage</t>
  </si>
  <si>
    <t>Attack Speed: While affected by Evocation gain (2%*Points) More Attack Speed</t>
  </si>
  <si>
    <t>Arcane Recovery: While affected by Evocation restore (0.5%*Points) of Max HP every Second</t>
  </si>
  <si>
    <t>Vizier: Rune Of Power: While affected by Rune Of Power gain 10% More Attack Speed and deal 10% More Damage. Lasts 25 Seconds.</t>
  </si>
  <si>
    <t>Cooldown Reduction: The Cooldown of Rune Of Power is reduced by (6*Points) Seconds</t>
  </si>
  <si>
    <t>Empower: While affected by Rune Of Power gain an additional (2%*Points) More Attack Speed</t>
  </si>
  <si>
    <t>Runic Strength: While affected by Rune Of Power gain (+2%*Points) Critical Chance</t>
  </si>
  <si>
    <t>Elemental Resistance: While affected by Rune Of Power gain (74*Points) Elemental Resistance</t>
  </si>
  <si>
    <t>Increased Duration: Rune Of Power gains an additional (2*Points) Seconds duration</t>
  </si>
  <si>
    <t>Battlemage: Prismatic Barrier: While affected by Prismatic Barrier gain +2% Barrier Regen, deal 10% More Damage and take 10% Less Damage. Lasts 30 Seconds</t>
  </si>
  <si>
    <t>Extra Protection: While affected by Prismatic Barrier take an additional (2%*Points) Less Damage</t>
  </si>
  <si>
    <t>Arcane Conversion: Taking damage while affected by Prismatic Barrier grants Barrier equal to (6%*Points) of the damage taken</t>
  </si>
  <si>
    <t>Block Chance: While affected by Prismatic Barrier gain (+2%*Points) Block Chance</t>
  </si>
  <si>
    <t>Increased Duration: Prismatic Barrier gains an additional (1.5*Points) Seconds duration</t>
  </si>
  <si>
    <t>Barbarian: Berserker Rage: While affected by Berserker Rage gain 10% More Attack Speed, deal 10% More Damage, and take 10% More Damage. Lasts 20 Seconds, but when a target is slain the duration is increased by 3 Seconds. Duration cannot be extedded beyond 20 Seconds.</t>
  </si>
  <si>
    <t>Odds are probably</t>
  </si>
  <si>
    <r>
      <rPr>
        <sz val="11"/>
        <color rgb="FFFF0000"/>
        <rFont val="Calibri"/>
        <family val="2"/>
        <scheme val="minor"/>
      </rPr>
      <t>6</t>
    </r>
    <r>
      <rPr>
        <sz val="11"/>
        <color theme="1"/>
        <rFont val="Calibri"/>
        <family val="2"/>
        <scheme val="minor"/>
      </rPr>
      <t>/</t>
    </r>
    <r>
      <rPr>
        <sz val="11"/>
        <color rgb="FF00B0F0"/>
        <rFont val="Calibri"/>
        <family val="2"/>
        <scheme val="minor"/>
      </rPr>
      <t>6</t>
    </r>
    <r>
      <rPr>
        <sz val="11"/>
        <color theme="1"/>
        <rFont val="Calibri"/>
        <family val="2"/>
        <scheme val="minor"/>
      </rPr>
      <t>/</t>
    </r>
    <r>
      <rPr>
        <sz val="11"/>
        <color rgb="FF00B050"/>
        <rFont val="Calibri"/>
        <family val="2"/>
        <scheme val="minor"/>
      </rPr>
      <t>3</t>
    </r>
  </si>
  <si>
    <r>
      <rPr>
        <sz val="11"/>
        <color rgb="FFFF0000"/>
        <rFont val="Calibri"/>
        <family val="2"/>
        <scheme val="minor"/>
      </rPr>
      <t>6</t>
    </r>
    <r>
      <rPr>
        <sz val="11"/>
        <color theme="1"/>
        <rFont val="Calibri"/>
        <family val="2"/>
        <scheme val="minor"/>
      </rPr>
      <t>/</t>
    </r>
    <r>
      <rPr>
        <sz val="11"/>
        <color rgb="FF00B0F0"/>
        <rFont val="Calibri"/>
        <family val="2"/>
        <scheme val="minor"/>
      </rPr>
      <t>6</t>
    </r>
    <r>
      <rPr>
        <sz val="11"/>
        <color theme="1"/>
        <rFont val="Calibri"/>
        <family val="2"/>
        <scheme val="minor"/>
      </rPr>
      <t>/</t>
    </r>
    <r>
      <rPr>
        <sz val="11"/>
        <color rgb="FF00B050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/>
    </r>
  </si>
  <si>
    <r>
      <rPr>
        <sz val="11"/>
        <color rgb="FFFF0000"/>
        <rFont val="Calibri"/>
        <family val="2"/>
        <scheme val="minor"/>
      </rPr>
      <t>5</t>
    </r>
    <r>
      <rPr>
        <sz val="11"/>
        <color theme="1"/>
        <rFont val="Calibri"/>
        <family val="2"/>
        <scheme val="minor"/>
      </rPr>
      <t>/</t>
    </r>
    <r>
      <rPr>
        <sz val="11"/>
        <color rgb="FF00B0F0"/>
        <rFont val="Calibri"/>
        <family val="2"/>
        <scheme val="minor"/>
      </rPr>
      <t>6</t>
    </r>
    <r>
      <rPr>
        <sz val="11"/>
        <color theme="1"/>
        <rFont val="Calibri"/>
        <family val="2"/>
        <scheme val="minor"/>
      </rPr>
      <t>/</t>
    </r>
    <r>
      <rPr>
        <sz val="11"/>
        <color rgb="FF00B050"/>
        <rFont val="Calibri"/>
        <family val="2"/>
        <scheme val="minor"/>
      </rPr>
      <t>3</t>
    </r>
  </si>
  <si>
    <t>1 in 2002</t>
  </si>
  <si>
    <t>1 in 3003</t>
  </si>
  <si>
    <t># of  attributes</t>
  </si>
  <si>
    <t>1 in 90090</t>
  </si>
  <si>
    <t>1 in 135135</t>
  </si>
  <si>
    <t>HotA Gems Received</t>
  </si>
  <si>
    <t>40 Possible Enchantments</t>
  </si>
  <si>
    <t>2 Enchantments Per Gem</t>
  </si>
  <si>
    <t>Cannot roll 2 Of The Same</t>
  </si>
  <si>
    <t>Odds Of 1 Specific Enchantment</t>
  </si>
  <si>
    <t>1 in 20</t>
  </si>
  <si>
    <t>Odds Of 2 Specific Enchantments</t>
  </si>
  <si>
    <t>Odds Of Any Barrier Build Gem</t>
  </si>
  <si>
    <t>Odds Per Any 1 Chest To Have It</t>
  </si>
  <si>
    <t>Heartstone</t>
  </si>
  <si>
    <t>Meteorite</t>
  </si>
  <si>
    <t>Imperial Star</t>
  </si>
  <si>
    <t>Shifting Pearl</t>
  </si>
  <si>
    <t>Luck</t>
  </si>
  <si>
    <t>Wealth</t>
  </si>
  <si>
    <t>Fate</t>
  </si>
  <si>
    <t>Jewel Of The Empire</t>
  </si>
  <si>
    <t>Possible Attributes</t>
  </si>
  <si>
    <t>Gem Type</t>
  </si>
  <si>
    <t>At Lvl 150</t>
  </si>
  <si>
    <t>Odds Of 6 Specific Attributes</t>
  </si>
  <si>
    <t>1 in 11</t>
  </si>
  <si>
    <t>1 in 231</t>
  </si>
  <si>
    <t>1 in 7315</t>
  </si>
  <si>
    <t>1 in 74613</t>
  </si>
  <si>
    <t>Defensive Attribute:</t>
  </si>
  <si>
    <t>Points Invested</t>
  </si>
  <si>
    <t>Total Points Invested</t>
  </si>
  <si>
    <t>193,067 Points of Evasion</t>
  </si>
  <si>
    <t>316,945 Points of Armour</t>
  </si>
  <si>
    <t>If you wanted to have 100%, you would need:</t>
  </si>
  <si>
    <t xml:space="preserve">  72,928 Points of Block Rating</t>
  </si>
  <si>
    <t xml:space="preserve">  28,721 Points of Resistance</t>
  </si>
  <si>
    <t>There is a 50% chance to get 3 attributes to be Nemesis (opposed to 2)</t>
  </si>
  <si>
    <t>1 in 2</t>
  </si>
  <si>
    <t>There is a 5% chance to get 3 specific attributes to be Nemesis (out of 6)</t>
  </si>
  <si>
    <t>1 in 125</t>
  </si>
  <si>
    <t>There is a 0.02% chance for all 3 specific attributes to be a +8 Nemesis</t>
  </si>
  <si>
    <t>1 in 5000</t>
  </si>
  <si>
    <t>There ia a 0.8% chance for any 3 Nemesis attributes to roll a +8</t>
  </si>
  <si>
    <t>Binomial Probability</t>
  </si>
  <si>
    <t>Example: 10 attempts at 12.3456789% each attempt</t>
  </si>
  <si>
    <t>What are the chances of getting at least 1 after X attempts?</t>
  </si>
  <si>
    <t># of attempts:</t>
  </si>
  <si>
    <t>Probablity:</t>
  </si>
  <si>
    <t>Cumulative Probability:</t>
  </si>
  <si>
    <t>Essences</t>
  </si>
  <si>
    <t>To Lvl.</t>
  </si>
  <si>
    <t>Yes!... I spent a few days Rubber Duck Debugging the main formula, until I gave up and contacted ArrowSoft. We found that the in-game's Average Damage may not be calculating Skill Mastery correctly (for now Version 0.6.5).</t>
  </si>
  <si>
    <t>Also, I don't currently have any of the Mastery Points, Enchantments, or Penetrations affecting the formulas. It's a challenge I don't feel like tackling, but maybe later.</t>
  </si>
  <si>
    <r>
      <rPr>
        <b/>
        <sz val="11"/>
        <color rgb="FFFF0000"/>
        <rFont val="Calibri"/>
        <family val="2"/>
        <scheme val="minor"/>
      </rPr>
      <t>Rubies</t>
    </r>
    <r>
      <rPr>
        <b/>
        <sz val="11"/>
        <color theme="1"/>
        <rFont val="Calibri"/>
        <family val="2"/>
        <scheme val="minor"/>
      </rPr>
      <t>/</t>
    </r>
    <r>
      <rPr>
        <b/>
        <sz val="11"/>
        <color rgb="FF00B0F0"/>
        <rFont val="Calibri"/>
        <family val="2"/>
        <scheme val="minor"/>
      </rPr>
      <t>Souls</t>
    </r>
  </si>
  <si>
    <t>Odds Of Perfect Roll</t>
  </si>
  <si>
    <t>Odds Of Perfect Roll Per Chest</t>
  </si>
  <si>
    <t>1 Specific Attribute</t>
  </si>
  <si>
    <t>2 Specific Attributes</t>
  </si>
  <si>
    <t>4 Specific Attributes</t>
  </si>
  <si>
    <t>Attributes</t>
  </si>
  <si>
    <t xml:space="preserve">That's about </t>
  </si>
  <si>
    <t xml:space="preserve">  selected bounties (rounded up)</t>
  </si>
  <si>
    <t>At Infamy Level 8</t>
  </si>
  <si>
    <t xml:space="preserve">Which is about </t>
  </si>
  <si>
    <t xml:space="preserve"> Of a selected bounty @ Lvl. 8</t>
  </si>
  <si>
    <t>#4 Upgrade - Add Sockets, Enchantments, Attribute &amp; Paragon Levels</t>
  </si>
  <si>
    <t>Default Warrior Stats</t>
  </si>
  <si>
    <t>Amplify</t>
  </si>
  <si>
    <t>Antidote</t>
  </si>
  <si>
    <t>Avarice</t>
  </si>
  <si>
    <t>Avenge</t>
  </si>
  <si>
    <t>Bane</t>
  </si>
  <si>
    <t>Blessed</t>
  </si>
  <si>
    <t>Bruiser</t>
  </si>
  <si>
    <t>Butcher</t>
  </si>
  <si>
    <t>Censure</t>
  </si>
  <si>
    <t>Circumvent</t>
  </si>
  <si>
    <t>Cleanse</t>
  </si>
  <si>
    <t>Coalesce</t>
  </si>
  <si>
    <t>Conflagrate</t>
  </si>
  <si>
    <t>Covet</t>
  </si>
  <si>
    <t>Cull</t>
  </si>
  <si>
    <t>Defiance</t>
  </si>
  <si>
    <t>Destiny</t>
  </si>
  <si>
    <t>Devotion</t>
  </si>
  <si>
    <t>Douse</t>
  </si>
  <si>
    <t>Elusive</t>
  </si>
  <si>
    <t>Endure</t>
  </si>
  <si>
    <t>Envy</t>
  </si>
  <si>
    <t>Esoteric</t>
  </si>
  <si>
    <t>Expedient</t>
  </si>
  <si>
    <t>Fulminate</t>
  </si>
  <si>
    <t>Galvanise</t>
  </si>
  <si>
    <t>Gauze</t>
  </si>
  <si>
    <t>Glaciate</t>
  </si>
  <si>
    <t>Ground</t>
  </si>
  <si>
    <t>Guard</t>
  </si>
  <si>
    <t>Incinerate</t>
  </si>
  <si>
    <t>Mend</t>
  </si>
  <si>
    <t>Necrotic</t>
  </si>
  <si>
    <t>Occult</t>
  </si>
  <si>
    <t>Onslaught</t>
  </si>
  <si>
    <t>Purify</t>
  </si>
  <si>
    <t>Purpose</t>
  </si>
  <si>
    <t>Rebirth</t>
  </si>
  <si>
    <t>Rebound</t>
  </si>
  <si>
    <t>Recoup</t>
  </si>
  <si>
    <t>Refresh</t>
  </si>
  <si>
    <t>Rime</t>
  </si>
  <si>
    <t>Scour</t>
  </si>
  <si>
    <t>Sentinel</t>
  </si>
  <si>
    <t>Sever</t>
  </si>
  <si>
    <t>Slaughter</t>
  </si>
  <si>
    <t>Toxic</t>
  </si>
  <si>
    <t>Vulnerable</t>
  </si>
  <si>
    <t>Warmth</t>
  </si>
  <si>
    <t>Wither</t>
  </si>
  <si>
    <t>Total HotA Gems</t>
  </si>
  <si>
    <r>
      <rPr>
        <u/>
        <sz val="11"/>
        <color theme="10"/>
        <rFont val="Calibri"/>
        <family val="2"/>
        <scheme val="minor"/>
      </rPr>
      <t xml:space="preserve">Independently discovered by </t>
    </r>
    <r>
      <rPr>
        <b/>
        <u/>
        <sz val="11"/>
        <color theme="10"/>
        <rFont val="Calibri"/>
        <family val="2"/>
        <scheme val="minor"/>
      </rPr>
      <t>Approxiam</t>
    </r>
    <r>
      <rPr>
        <u/>
        <sz val="11"/>
        <color theme="10"/>
        <rFont val="Calibri"/>
        <family val="2"/>
        <scheme val="minor"/>
      </rPr>
      <t>, in the guide</t>
    </r>
    <r>
      <rPr>
        <sz val="11"/>
        <color theme="10"/>
        <rFont val="Calibri"/>
        <family val="2"/>
        <scheme val="minor"/>
      </rPr>
      <t xml:space="preserve">:             </t>
    </r>
    <r>
      <rPr>
        <u/>
        <sz val="11"/>
        <color theme="10"/>
        <rFont val="Calibri"/>
        <family val="2"/>
        <scheme val="minor"/>
      </rPr>
      <t>"Endgame crafting: Nemesis Infusion" on Steam</t>
    </r>
  </si>
  <si>
    <t>≈ 1 in 12</t>
  </si>
  <si>
    <t>≈ 1 in 1200</t>
  </si>
  <si>
    <t>≈ 1 in 24</t>
  </si>
  <si>
    <t>≈ 1 in 2400</t>
  </si>
  <si>
    <t>1 in 2070</t>
  </si>
  <si>
    <t>1 in 207000</t>
  </si>
  <si>
    <r>
      <t xml:space="preserve">I am </t>
    </r>
    <r>
      <rPr>
        <b/>
        <u/>
        <sz val="11"/>
        <color rgb="FF0070C0"/>
        <rFont val="Calibri"/>
        <family val="2"/>
        <scheme val="minor"/>
      </rPr>
      <t>ASSUMING</t>
    </r>
    <r>
      <rPr>
        <sz val="11"/>
        <color theme="1"/>
        <rFont val="Calibri"/>
        <family val="2"/>
        <scheme val="minor"/>
      </rPr>
      <t xml:space="preserve"> the odds are even for each Enchantment to be rolled. My current findings are below</t>
    </r>
  </si>
  <si>
    <t>Minimum</t>
  </si>
  <si>
    <t>Maximum</t>
  </si>
  <si>
    <t>Average</t>
  </si>
  <si>
    <t>Thrash</t>
  </si>
  <si>
    <t>Overwhelm</t>
  </si>
  <si>
    <t>Enchantment</t>
  </si>
  <si>
    <t># Of Times</t>
  </si>
  <si>
    <t>% Of Total</t>
  </si>
  <si>
    <t>E(X)</t>
  </si>
  <si>
    <t>Chi-Square</t>
  </si>
  <si>
    <r>
      <t>There are 52 Enchantments, but</t>
    </r>
    <r>
      <rPr>
        <sz val="11"/>
        <color theme="1"/>
        <rFont val="Calibri"/>
        <family val="2"/>
        <scheme val="minor"/>
      </rPr>
      <t xml:space="preserve"> only 46 are available on a HotA Gem</t>
    </r>
  </si>
  <si>
    <t>≈ 1 in 5</t>
  </si>
  <si>
    <t>≈ 1 in 4</t>
  </si>
  <si>
    <t>≈ 1 in 39</t>
  </si>
  <si>
    <t>≈ 1 in 15</t>
  </si>
  <si>
    <t>≈ 1 in 488</t>
  </si>
  <si>
    <r>
      <t xml:space="preserve">*Calculated </t>
    </r>
    <r>
      <rPr>
        <b/>
        <u/>
        <sz val="11"/>
        <color theme="1"/>
        <rFont val="Calibri"/>
        <family val="2"/>
        <scheme val="minor"/>
      </rPr>
      <t>AVERAGE</t>
    </r>
    <r>
      <rPr>
        <sz val="11"/>
        <color theme="1"/>
        <rFont val="Calibri"/>
        <family val="2"/>
        <scheme val="minor"/>
      </rPr>
      <t xml:space="preserve"> attack (</t>
    </r>
    <r>
      <rPr>
        <u/>
        <sz val="11"/>
        <color theme="1"/>
        <rFont val="Calibri"/>
        <family val="2"/>
        <scheme val="minor"/>
      </rPr>
      <t>non-boss</t>
    </r>
    <r>
      <rPr>
        <sz val="11"/>
        <color theme="1"/>
        <rFont val="Calibri"/>
        <family val="2"/>
        <scheme val="minor"/>
      </rPr>
      <t>):</t>
    </r>
  </si>
  <si>
    <r>
      <t xml:space="preserve">*Calculated </t>
    </r>
    <r>
      <rPr>
        <b/>
        <u/>
        <sz val="11"/>
        <color theme="1"/>
        <rFont val="Calibri"/>
        <family val="2"/>
        <scheme val="minor"/>
      </rPr>
      <t>AVERAGE</t>
    </r>
    <r>
      <rPr>
        <sz val="11"/>
        <color theme="1"/>
        <rFont val="Calibri"/>
        <family val="2"/>
        <scheme val="minor"/>
      </rPr>
      <t xml:space="preserve"> attack (</t>
    </r>
    <r>
      <rPr>
        <u/>
        <sz val="11"/>
        <color theme="1"/>
        <rFont val="Calibri"/>
        <family val="2"/>
        <scheme val="minor"/>
      </rPr>
      <t>boss</t>
    </r>
    <r>
      <rPr>
        <sz val="11"/>
        <color theme="1"/>
        <rFont val="Calibri"/>
        <family val="2"/>
        <scheme val="minor"/>
      </rPr>
      <t>):</t>
    </r>
  </si>
  <si>
    <t>If you have an idea, I'll think about it :)</t>
  </si>
  <si>
    <t>If you have an idea on how to make something look better, feel free to let me know.</t>
  </si>
  <si>
    <t>Please tell me. I did try to get them all, but might have missed some.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</si>
</sst>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0.0%"/>
    <numFmt numFmtId="165" formatCode="0.000"/>
    <numFmt numFmtId="166" formatCode="0.00000%"/>
    <numFmt numFmtId="167" formatCode="0.0000000000000%"/>
    <numFmt numFmtId="168" formatCode="0.0000%"/>
    <numFmt numFmtId="169" formatCode="0.000000%"/>
    <numFmt numFmtId="170" formatCode="0.0000000%"/>
    <numFmt numFmtId="171" formatCode="0.000000000000%"/>
    <numFmt numFmtId="172" formatCode="0.00000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0"/>
      <name val="Calibri"/>
      <family val="2"/>
      <scheme val="minor"/>
    </font>
    <font>
      <sz val="11"/>
      <color rgb="FF00B0F0"/>
      <name val="Calibri"/>
      <family val="2"/>
      <scheme val="minor"/>
    </font>
    <font>
      <sz val="23.5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u/>
      <sz val="11"/>
      <color rgb="FF0070C0"/>
      <name val="Calibri"/>
      <family val="2"/>
      <scheme val="minor"/>
    </font>
    <font>
      <sz val="11"/>
      <color rgb="FF333333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gradientFill>
        <stop position="0">
          <color rgb="FF92D050"/>
        </stop>
        <stop position="1">
          <color rgb="FF00B0F0"/>
        </stop>
      </gradientFill>
    </fill>
    <fill>
      <gradientFill>
        <stop position="0">
          <color rgb="FF00B0F0"/>
        </stop>
        <stop position="1">
          <color rgb="FF92D050"/>
        </stop>
      </gradient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</fills>
  <borders count="57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Dashed">
        <color indexed="64"/>
      </left>
      <right style="mediumDashed">
        <color indexed="64"/>
      </right>
      <top style="mediumDashed">
        <color indexed="64"/>
      </top>
      <bottom/>
      <diagonal/>
    </border>
    <border>
      <left style="mediumDashed">
        <color indexed="64"/>
      </left>
      <right style="mediumDashed">
        <color indexed="64"/>
      </right>
      <top/>
      <bottom/>
      <diagonal/>
    </border>
    <border>
      <left style="mediumDashed">
        <color indexed="64"/>
      </left>
      <right style="mediumDashed">
        <color indexed="64"/>
      </right>
      <top/>
      <bottom style="mediumDashed">
        <color indexed="64"/>
      </bottom>
      <diagonal/>
    </border>
    <border>
      <left style="mediumDashed">
        <color indexed="64"/>
      </left>
      <right style="mediumDashed">
        <color indexed="64"/>
      </right>
      <top/>
      <bottom style="thin">
        <color indexed="64"/>
      </bottom>
      <diagonal/>
    </border>
    <border>
      <left style="mediumDashed">
        <color indexed="64"/>
      </left>
      <right style="mediumDashed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Dashed">
        <color indexed="64"/>
      </left>
      <right style="mediumDashed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Dashed">
        <color indexed="64"/>
      </left>
      <right style="mediumDashed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6" fillId="0" borderId="0" applyNumberFormat="0" applyFill="0" applyBorder="0" applyAlignment="0" applyProtection="0"/>
  </cellStyleXfs>
  <cellXfs count="253">
    <xf numFmtId="0" fontId="0" fillId="0" borderId="0" xfId="0"/>
    <xf numFmtId="9" fontId="0" fillId="0" borderId="0" xfId="0" applyNumberFormat="1"/>
    <xf numFmtId="0" fontId="0" fillId="0" borderId="0" xfId="0" quotePrefix="1"/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4" fillId="0" borderId="0" xfId="0" applyFont="1" applyAlignment="1">
      <alignment vertical="center"/>
    </xf>
    <xf numFmtId="0" fontId="5" fillId="0" borderId="0" xfId="0" applyFont="1" applyAlignment="1">
      <alignment horizontal="right"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6" fillId="0" borderId="0" xfId="2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quotePrefix="1" applyBorder="1"/>
    <xf numFmtId="0" fontId="0" fillId="0" borderId="11" xfId="0" quotePrefix="1" applyBorder="1"/>
    <xf numFmtId="0" fontId="0" fillId="0" borderId="12" xfId="0" quotePrefix="1" applyBorder="1"/>
    <xf numFmtId="0" fontId="0" fillId="0" borderId="2" xfId="0" applyBorder="1"/>
    <xf numFmtId="0" fontId="7" fillId="0" borderId="0" xfId="2" applyFont="1"/>
    <xf numFmtId="0" fontId="3" fillId="0" borderId="13" xfId="0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0" fontId="8" fillId="0" borderId="0" xfId="0" applyFont="1"/>
    <xf numFmtId="9" fontId="5" fillId="0" borderId="0" xfId="1" applyFont="1" applyFill="1" applyBorder="1" applyAlignment="1">
      <alignment horizontal="center" vertical="center"/>
    </xf>
    <xf numFmtId="0" fontId="0" fillId="4" borderId="0" xfId="0" applyFill="1"/>
    <xf numFmtId="0" fontId="0" fillId="5" borderId="0" xfId="0" applyFill="1"/>
    <xf numFmtId="0" fontId="0" fillId="5" borderId="0" xfId="0" quotePrefix="1" applyFill="1"/>
    <xf numFmtId="0" fontId="0" fillId="5" borderId="0" xfId="0" applyFill="1" applyAlignment="1">
      <alignment horizontal="right"/>
    </xf>
    <xf numFmtId="9" fontId="0" fillId="5" borderId="0" xfId="0" applyNumberFormat="1" applyFill="1" applyAlignment="1">
      <alignment horizontal="right"/>
    </xf>
    <xf numFmtId="0" fontId="5" fillId="0" borderId="10" xfId="0" applyFont="1" applyBorder="1" applyAlignment="1">
      <alignment horizontal="right" vertical="center"/>
    </xf>
    <xf numFmtId="0" fontId="5" fillId="0" borderId="8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5" fillId="0" borderId="7" xfId="0" applyFont="1" applyBorder="1" applyAlignment="1">
      <alignment vertical="center"/>
    </xf>
    <xf numFmtId="166" fontId="0" fillId="0" borderId="0" xfId="0" applyNumberFormat="1"/>
    <xf numFmtId="0" fontId="0" fillId="2" borderId="0" xfId="0" applyFill="1"/>
    <xf numFmtId="0" fontId="0" fillId="0" borderId="6" xfId="0" applyBorder="1"/>
    <xf numFmtId="0" fontId="0" fillId="0" borderId="23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24" xfId="0" applyBorder="1"/>
    <xf numFmtId="0" fontId="0" fillId="3" borderId="24" xfId="0" applyFill="1" applyBorder="1"/>
    <xf numFmtId="164" fontId="0" fillId="3" borderId="24" xfId="0" applyNumberFormat="1" applyFill="1" applyBorder="1"/>
    <xf numFmtId="0" fontId="0" fillId="2" borderId="24" xfId="0" applyFill="1" applyBorder="1"/>
    <xf numFmtId="164" fontId="0" fillId="2" borderId="24" xfId="0" applyNumberFormat="1" applyFill="1" applyBorder="1"/>
    <xf numFmtId="164" fontId="0" fillId="0" borderId="24" xfId="0" applyNumberFormat="1" applyBorder="1"/>
    <xf numFmtId="0" fontId="0" fillId="0" borderId="28" xfId="0" applyBorder="1"/>
    <xf numFmtId="0" fontId="0" fillId="0" borderId="29" xfId="0" applyBorder="1"/>
    <xf numFmtId="164" fontId="0" fillId="3" borderId="29" xfId="0" applyNumberFormat="1" applyFill="1" applyBorder="1"/>
    <xf numFmtId="164" fontId="0" fillId="2" borderId="29" xfId="0" applyNumberFormat="1" applyFill="1" applyBorder="1"/>
    <xf numFmtId="164" fontId="0" fillId="0" borderId="29" xfId="0" applyNumberFormat="1" applyBorder="1"/>
    <xf numFmtId="0" fontId="0" fillId="0" borderId="31" xfId="0" applyBorder="1"/>
    <xf numFmtId="0" fontId="3" fillId="0" borderId="7" xfId="0" applyFont="1" applyBorder="1"/>
    <xf numFmtId="0" fontId="0" fillId="0" borderId="32" xfId="0" applyBorder="1"/>
    <xf numFmtId="0" fontId="0" fillId="0" borderId="33" xfId="0" applyBorder="1"/>
    <xf numFmtId="0" fontId="0" fillId="0" borderId="34" xfId="0" applyBorder="1"/>
    <xf numFmtId="0" fontId="0" fillId="0" borderId="35" xfId="0" applyBorder="1"/>
    <xf numFmtId="0" fontId="0" fillId="0" borderId="36" xfId="0" applyBorder="1"/>
    <xf numFmtId="0" fontId="3" fillId="0" borderId="0" xfId="0" applyFont="1" applyAlignment="1">
      <alignment horizontal="left"/>
    </xf>
    <xf numFmtId="0" fontId="0" fillId="0" borderId="0" xfId="0" quotePrefix="1" applyAlignment="1">
      <alignment vertical="center" wrapText="1"/>
    </xf>
    <xf numFmtId="0" fontId="0" fillId="7" borderId="0" xfId="0" applyFill="1" applyAlignment="1">
      <alignment horizontal="right"/>
    </xf>
    <xf numFmtId="0" fontId="0" fillId="7" borderId="0" xfId="0" applyFill="1"/>
    <xf numFmtId="0" fontId="0" fillId="6" borderId="0" xfId="0" applyFill="1"/>
    <xf numFmtId="0" fontId="0" fillId="6" borderId="0" xfId="0" applyFill="1" applyAlignment="1">
      <alignment horizontal="right"/>
    </xf>
    <xf numFmtId="0" fontId="0" fillId="7" borderId="2" xfId="0" applyFill="1" applyBorder="1"/>
    <xf numFmtId="0" fontId="0" fillId="8" borderId="1" xfId="0" applyFill="1" applyBorder="1"/>
    <xf numFmtId="0" fontId="0" fillId="8" borderId="2" xfId="0" applyFill="1" applyBorder="1"/>
    <xf numFmtId="0" fontId="0" fillId="8" borderId="18" xfId="0" applyFill="1" applyBorder="1"/>
    <xf numFmtId="0" fontId="0" fillId="8" borderId="10" xfId="0" applyFill="1" applyBorder="1"/>
    <xf numFmtId="0" fontId="0" fillId="8" borderId="21" xfId="0" applyFill="1" applyBorder="1"/>
    <xf numFmtId="0" fontId="0" fillId="8" borderId="6" xfId="0" applyFill="1" applyBorder="1"/>
    <xf numFmtId="164" fontId="0" fillId="8" borderId="12" xfId="1" applyNumberFormat="1" applyFont="1" applyFill="1" applyBorder="1" applyAlignment="1">
      <alignment horizontal="center"/>
    </xf>
    <xf numFmtId="0" fontId="0" fillId="8" borderId="9" xfId="0" applyFill="1" applyBorder="1" applyAlignment="1">
      <alignment horizontal="center"/>
    </xf>
    <xf numFmtId="0" fontId="0" fillId="9" borderId="16" xfId="0" applyFill="1" applyBorder="1" applyProtection="1">
      <protection locked="0"/>
    </xf>
    <xf numFmtId="9" fontId="0" fillId="9" borderId="17" xfId="0" applyNumberFormat="1" applyFill="1" applyBorder="1" applyProtection="1">
      <protection locked="0"/>
    </xf>
    <xf numFmtId="9" fontId="0" fillId="9" borderId="17" xfId="1" applyFont="1" applyFill="1" applyBorder="1" applyProtection="1">
      <protection locked="0"/>
    </xf>
    <xf numFmtId="9" fontId="0" fillId="0" borderId="17" xfId="1" applyFont="1" applyBorder="1" applyProtection="1">
      <protection locked="0"/>
    </xf>
    <xf numFmtId="9" fontId="0" fillId="7" borderId="17" xfId="1" applyFont="1" applyFill="1" applyBorder="1" applyProtection="1">
      <protection locked="0"/>
    </xf>
    <xf numFmtId="9" fontId="0" fillId="7" borderId="14" xfId="0" applyNumberFormat="1" applyFill="1" applyBorder="1" applyProtection="1">
      <protection locked="0"/>
    </xf>
    <xf numFmtId="9" fontId="0" fillId="9" borderId="19" xfId="1" applyFont="1" applyFill="1" applyBorder="1" applyProtection="1">
      <protection locked="0"/>
    </xf>
    <xf numFmtId="9" fontId="0" fillId="9" borderId="22" xfId="1" applyFont="1" applyFill="1" applyBorder="1" applyProtection="1">
      <protection locked="0"/>
    </xf>
    <xf numFmtId="9" fontId="0" fillId="9" borderId="16" xfId="0" applyNumberFormat="1" applyFill="1" applyBorder="1" applyProtection="1">
      <protection locked="0"/>
    </xf>
    <xf numFmtId="9" fontId="0" fillId="9" borderId="15" xfId="0" applyNumberFormat="1" applyFill="1" applyBorder="1" applyProtection="1">
      <protection locked="0"/>
    </xf>
    <xf numFmtId="0" fontId="5" fillId="0" borderId="11" xfId="0" applyFont="1" applyBorder="1" applyAlignment="1" applyProtection="1">
      <alignment vertical="center"/>
      <protection locked="0"/>
    </xf>
    <xf numFmtId="0" fontId="5" fillId="0" borderId="12" xfId="0" applyFont="1" applyBorder="1" applyAlignment="1" applyProtection="1">
      <alignment vertical="center"/>
      <protection locked="0"/>
    </xf>
    <xf numFmtId="165" fontId="0" fillId="0" borderId="0" xfId="0" quotePrefix="1" applyNumberFormat="1" applyAlignment="1">
      <alignment horizontal="left"/>
    </xf>
    <xf numFmtId="0" fontId="5" fillId="2" borderId="37" xfId="0" applyFont="1" applyFill="1" applyBorder="1" applyAlignment="1" applyProtection="1">
      <alignment vertical="center"/>
      <protection locked="0"/>
    </xf>
    <xf numFmtId="0" fontId="5" fillId="7" borderId="24" xfId="0" applyFont="1" applyFill="1" applyBorder="1" applyAlignment="1" applyProtection="1">
      <alignment vertical="center"/>
      <protection locked="0"/>
    </xf>
    <xf numFmtId="0" fontId="5" fillId="7" borderId="24" xfId="0" applyFont="1" applyFill="1" applyBorder="1" applyAlignment="1" applyProtection="1">
      <alignment horizontal="center" vertical="center"/>
      <protection locked="0"/>
    </xf>
    <xf numFmtId="0" fontId="5" fillId="6" borderId="24" xfId="0" applyFont="1" applyFill="1" applyBorder="1" applyAlignment="1" applyProtection="1">
      <alignment vertical="center"/>
      <protection locked="0"/>
    </xf>
    <xf numFmtId="0" fontId="5" fillId="6" borderId="24" xfId="0" applyFont="1" applyFill="1" applyBorder="1" applyAlignment="1" applyProtection="1">
      <alignment horizontal="center" vertical="center"/>
      <protection locked="0"/>
    </xf>
    <xf numFmtId="9" fontId="5" fillId="7" borderId="24" xfId="1" applyFont="1" applyFill="1" applyBorder="1" applyAlignment="1">
      <alignment horizontal="center" vertical="center"/>
    </xf>
    <xf numFmtId="9" fontId="5" fillId="6" borderId="24" xfId="1" applyFont="1" applyFill="1" applyBorder="1" applyAlignment="1">
      <alignment horizontal="center" vertical="center"/>
    </xf>
    <xf numFmtId="164" fontId="0" fillId="0" borderId="0" xfId="0" applyNumberFormat="1"/>
    <xf numFmtId="0" fontId="0" fillId="0" borderId="38" xfId="0" applyBorder="1"/>
    <xf numFmtId="0" fontId="0" fillId="0" borderId="20" xfId="0" applyBorder="1"/>
    <xf numFmtId="0" fontId="0" fillId="2" borderId="38" xfId="0" applyFill="1" applyBorder="1"/>
    <xf numFmtId="0" fontId="0" fillId="2" borderId="20" xfId="0" applyFill="1" applyBorder="1"/>
    <xf numFmtId="0" fontId="0" fillId="0" borderId="8" xfId="0" quotePrefix="1" applyBorder="1"/>
    <xf numFmtId="0" fontId="0" fillId="2" borderId="6" xfId="0" applyFill="1" applyBorder="1"/>
    <xf numFmtId="0" fontId="0" fillId="2" borderId="23" xfId="0" applyFill="1" applyBorder="1"/>
    <xf numFmtId="0" fontId="0" fillId="0" borderId="39" xfId="0" applyBorder="1"/>
    <xf numFmtId="0" fontId="0" fillId="0" borderId="40" xfId="0" applyBorder="1"/>
    <xf numFmtId="0" fontId="0" fillId="0" borderId="41" xfId="0" applyBorder="1"/>
    <xf numFmtId="0" fontId="0" fillId="0" borderId="42" xfId="0" applyBorder="1"/>
    <xf numFmtId="166" fontId="0" fillId="0" borderId="0" xfId="1" applyNumberFormat="1" applyFont="1"/>
    <xf numFmtId="167" fontId="0" fillId="0" borderId="0" xfId="1" applyNumberFormat="1" applyFont="1"/>
    <xf numFmtId="164" fontId="0" fillId="0" borderId="0" xfId="1" applyNumberFormat="1" applyFont="1"/>
    <xf numFmtId="10" fontId="0" fillId="0" borderId="0" xfId="1" applyNumberFormat="1" applyFont="1"/>
    <xf numFmtId="1" fontId="0" fillId="0" borderId="0" xfId="0" applyNumberFormat="1"/>
    <xf numFmtId="0" fontId="0" fillId="11" borderId="6" xfId="0" applyFill="1" applyBorder="1"/>
    <xf numFmtId="0" fontId="0" fillId="12" borderId="6" xfId="0" applyFill="1" applyBorder="1"/>
    <xf numFmtId="0" fontId="0" fillId="7" borderId="6" xfId="0" applyFill="1" applyBorder="1"/>
    <xf numFmtId="0" fontId="0" fillId="13" borderId="6" xfId="0" applyFill="1" applyBorder="1"/>
    <xf numFmtId="0" fontId="13" fillId="15" borderId="6" xfId="0" applyFont="1" applyFill="1" applyBorder="1"/>
    <xf numFmtId="0" fontId="13" fillId="6" borderId="6" xfId="0" applyFont="1" applyFill="1" applyBorder="1"/>
    <xf numFmtId="0" fontId="13" fillId="14" borderId="6" xfId="0" applyFont="1" applyFill="1" applyBorder="1"/>
    <xf numFmtId="0" fontId="13" fillId="16" borderId="6" xfId="0" applyFont="1" applyFill="1" applyBorder="1"/>
    <xf numFmtId="0" fontId="13" fillId="10" borderId="7" xfId="0" applyFont="1" applyFill="1" applyBorder="1"/>
    <xf numFmtId="170" fontId="0" fillId="0" borderId="0" xfId="1" applyNumberFormat="1" applyFont="1"/>
    <xf numFmtId="171" fontId="0" fillId="0" borderId="0" xfId="1" applyNumberFormat="1" applyFont="1"/>
    <xf numFmtId="0" fontId="0" fillId="0" borderId="21" xfId="0" applyBorder="1"/>
    <xf numFmtId="0" fontId="0" fillId="0" borderId="1" xfId="0" applyBorder="1"/>
    <xf numFmtId="0" fontId="0" fillId="0" borderId="44" xfId="0" applyBorder="1"/>
    <xf numFmtId="0" fontId="0" fillId="0" borderId="45" xfId="0" applyBorder="1"/>
    <xf numFmtId="0" fontId="3" fillId="0" borderId="18" xfId="0" applyFont="1" applyBorder="1"/>
    <xf numFmtId="0" fontId="3" fillId="0" borderId="44" xfId="0" applyFont="1" applyBorder="1"/>
    <xf numFmtId="0" fontId="3" fillId="0" borderId="45" xfId="0" applyFont="1" applyBorder="1"/>
    <xf numFmtId="0" fontId="3" fillId="0" borderId="1" xfId="0" applyFont="1" applyBorder="1"/>
    <xf numFmtId="0" fontId="3" fillId="0" borderId="1" xfId="0" applyFont="1" applyBorder="1" applyAlignment="1">
      <alignment horizontal="center"/>
    </xf>
    <xf numFmtId="168" fontId="0" fillId="0" borderId="0" xfId="1" applyNumberFormat="1" applyFont="1" applyBorder="1" applyAlignment="1">
      <alignment vertical="center"/>
    </xf>
    <xf numFmtId="168" fontId="0" fillId="0" borderId="1" xfId="1" applyNumberFormat="1" applyFont="1" applyBorder="1" applyAlignment="1">
      <alignment vertical="center"/>
    </xf>
    <xf numFmtId="0" fontId="0" fillId="0" borderId="46" xfId="0" applyBorder="1"/>
    <xf numFmtId="168" fontId="0" fillId="0" borderId="46" xfId="1" applyNumberFormat="1" applyFont="1" applyBorder="1" applyAlignment="1">
      <alignment vertical="center"/>
    </xf>
    <xf numFmtId="0" fontId="3" fillId="0" borderId="11" xfId="0" applyFont="1" applyBorder="1"/>
    <xf numFmtId="0" fontId="0" fillId="0" borderId="47" xfId="0" applyBorder="1"/>
    <xf numFmtId="0" fontId="3" fillId="0" borderId="40" xfId="0" applyFont="1" applyBorder="1"/>
    <xf numFmtId="0" fontId="10" fillId="0" borderId="23" xfId="0" applyFont="1" applyBorder="1"/>
    <xf numFmtId="0" fontId="10" fillId="0" borderId="43" xfId="0" applyFont="1" applyBorder="1"/>
    <xf numFmtId="0" fontId="8" fillId="0" borderId="23" xfId="0" applyFont="1" applyBorder="1"/>
    <xf numFmtId="0" fontId="8" fillId="0" borderId="12" xfId="0" applyFont="1" applyBorder="1"/>
    <xf numFmtId="0" fontId="0" fillId="17" borderId="0" xfId="0" applyFill="1"/>
    <xf numFmtId="0" fontId="0" fillId="17" borderId="48" xfId="0" applyFill="1" applyBorder="1" applyAlignment="1">
      <alignment horizontal="right"/>
    </xf>
    <xf numFmtId="0" fontId="0" fillId="17" borderId="41" xfId="0" applyFill="1" applyBorder="1" applyAlignment="1">
      <alignment horizontal="right"/>
    </xf>
    <xf numFmtId="166" fontId="0" fillId="0" borderId="49" xfId="1" applyNumberFormat="1" applyFont="1" applyBorder="1"/>
    <xf numFmtId="169" fontId="0" fillId="0" borderId="38" xfId="1" applyNumberFormat="1" applyFont="1" applyBorder="1"/>
    <xf numFmtId="168" fontId="0" fillId="0" borderId="41" xfId="1" applyNumberFormat="1" applyFont="1" applyBorder="1"/>
    <xf numFmtId="168" fontId="0" fillId="0" borderId="38" xfId="1" applyNumberFormat="1" applyFont="1" applyBorder="1"/>
    <xf numFmtId="49" fontId="0" fillId="3" borderId="0" xfId="0" applyNumberFormat="1" applyFill="1"/>
    <xf numFmtId="0" fontId="0" fillId="3" borderId="0" xfId="0" applyFill="1"/>
    <xf numFmtId="0" fontId="0" fillId="0" borderId="0" xfId="0" applyAlignment="1">
      <alignment horizontal="center"/>
    </xf>
    <xf numFmtId="0" fontId="0" fillId="2" borderId="44" xfId="0" applyFill="1" applyBorder="1"/>
    <xf numFmtId="0" fontId="0" fillId="2" borderId="2" xfId="0" applyFill="1" applyBorder="1"/>
    <xf numFmtId="49" fontId="0" fillId="2" borderId="48" xfId="0" applyNumberFormat="1" applyFill="1" applyBorder="1"/>
    <xf numFmtId="49" fontId="0" fillId="3" borderId="51" xfId="0" applyNumberFormat="1" applyFill="1" applyBorder="1"/>
    <xf numFmtId="49" fontId="0" fillId="2" borderId="51" xfId="0" applyNumberFormat="1" applyFill="1" applyBorder="1"/>
    <xf numFmtId="0" fontId="0" fillId="3" borderId="2" xfId="0" applyFill="1" applyBorder="1"/>
    <xf numFmtId="166" fontId="0" fillId="2" borderId="48" xfId="1" applyNumberFormat="1" applyFont="1" applyFill="1" applyBorder="1"/>
    <xf numFmtId="166" fontId="0" fillId="3" borderId="50" xfId="1" applyNumberFormat="1" applyFont="1" applyFill="1" applyBorder="1"/>
    <xf numFmtId="166" fontId="0" fillId="2" borderId="50" xfId="1" applyNumberFormat="1" applyFont="1" applyFill="1" applyBorder="1"/>
    <xf numFmtId="166" fontId="0" fillId="3" borderId="38" xfId="1" applyNumberFormat="1" applyFont="1" applyFill="1" applyBorder="1"/>
    <xf numFmtId="166" fontId="0" fillId="3" borderId="51" xfId="1" applyNumberFormat="1" applyFont="1" applyFill="1" applyBorder="1"/>
    <xf numFmtId="0" fontId="0" fillId="2" borderId="48" xfId="0" applyFill="1" applyBorder="1"/>
    <xf numFmtId="0" fontId="0" fillId="3" borderId="51" xfId="0" applyFill="1" applyBorder="1"/>
    <xf numFmtId="0" fontId="0" fillId="2" borderId="51" xfId="0" applyFill="1" applyBorder="1"/>
    <xf numFmtId="0" fontId="0" fillId="3" borderId="38" xfId="0" applyFill="1" applyBorder="1"/>
    <xf numFmtId="0" fontId="0" fillId="2" borderId="26" xfId="0" applyFill="1" applyBorder="1" applyAlignment="1">
      <alignment horizontal="right"/>
    </xf>
    <xf numFmtId="0" fontId="0" fillId="3" borderId="24" xfId="0" applyFill="1" applyBorder="1" applyAlignment="1">
      <alignment horizontal="right"/>
    </xf>
    <xf numFmtId="0" fontId="0" fillId="2" borderId="24" xfId="0" applyFill="1" applyBorder="1" applyAlignment="1">
      <alignment horizontal="right"/>
    </xf>
    <xf numFmtId="0" fontId="0" fillId="3" borderId="52" xfId="0" applyFill="1" applyBorder="1" applyAlignment="1">
      <alignment horizontal="right"/>
    </xf>
    <xf numFmtId="0" fontId="0" fillId="0" borderId="53" xfId="0" applyBorder="1"/>
    <xf numFmtId="0" fontId="3" fillId="0" borderId="11" xfId="0" applyFont="1" applyBorder="1" applyAlignment="1">
      <alignment horizontal="center"/>
    </xf>
    <xf numFmtId="0" fontId="6" fillId="0" borderId="0" xfId="2" applyBorder="1" applyAlignment="1">
      <alignment vertical="center" wrapText="1"/>
    </xf>
    <xf numFmtId="0" fontId="0" fillId="0" borderId="7" xfId="0" applyBorder="1" applyAlignment="1">
      <alignment horizontal="right"/>
    </xf>
    <xf numFmtId="0" fontId="0" fillId="0" borderId="9" xfId="0" applyBorder="1" applyAlignment="1">
      <alignment horizontal="left"/>
    </xf>
    <xf numFmtId="0" fontId="0" fillId="0" borderId="0" xfId="0" applyAlignment="1">
      <alignment wrapText="1"/>
    </xf>
    <xf numFmtId="0" fontId="0" fillId="0" borderId="35" xfId="0" applyBorder="1" applyAlignment="1">
      <alignment horizontal="center"/>
    </xf>
    <xf numFmtId="0" fontId="0" fillId="0" borderId="8" xfId="0" applyBorder="1" applyAlignment="1">
      <alignment horizontal="right"/>
    </xf>
    <xf numFmtId="9" fontId="0" fillId="0" borderId="9" xfId="1" applyFont="1" applyBorder="1" applyAlignment="1">
      <alignment horizontal="left"/>
    </xf>
    <xf numFmtId="0" fontId="0" fillId="7" borderId="0" xfId="0" applyFill="1" applyProtection="1">
      <protection locked="0"/>
    </xf>
    <xf numFmtId="0" fontId="0" fillId="7" borderId="33" xfId="0" applyFill="1" applyBorder="1" applyProtection="1">
      <protection locked="0"/>
    </xf>
    <xf numFmtId="0" fontId="0" fillId="7" borderId="23" xfId="0" applyFill="1" applyBorder="1" applyProtection="1">
      <protection locked="0"/>
    </xf>
    <xf numFmtId="0" fontId="0" fillId="7" borderId="28" xfId="0" applyFill="1" applyBorder="1" applyProtection="1">
      <protection locked="0"/>
    </xf>
    <xf numFmtId="0" fontId="0" fillId="7" borderId="30" xfId="0" applyFill="1" applyBorder="1" applyProtection="1">
      <protection locked="0"/>
    </xf>
    <xf numFmtId="0" fontId="0" fillId="0" borderId="55" xfId="0" applyBorder="1"/>
    <xf numFmtId="0" fontId="0" fillId="0" borderId="56" xfId="0" applyBorder="1"/>
    <xf numFmtId="172" fontId="0" fillId="0" borderId="23" xfId="0" applyNumberFormat="1" applyBorder="1"/>
    <xf numFmtId="172" fontId="0" fillId="0" borderId="9" xfId="0" applyNumberFormat="1" applyBorder="1"/>
    <xf numFmtId="164" fontId="0" fillId="0" borderId="0" xfId="1" applyNumberFormat="1" applyFont="1" applyFill="1"/>
    <xf numFmtId="0" fontId="0" fillId="0" borderId="20" xfId="0" applyBorder="1" applyAlignment="1">
      <alignment horizontal="right"/>
    </xf>
    <xf numFmtId="0" fontId="18" fillId="0" borderId="0" xfId="0" applyFont="1"/>
    <xf numFmtId="10" fontId="18" fillId="0" borderId="0" xfId="1" applyNumberFormat="1" applyFont="1" applyFill="1"/>
    <xf numFmtId="168" fontId="0" fillId="0" borderId="0" xfId="1" applyNumberFormat="1" applyFont="1" applyFill="1"/>
    <xf numFmtId="0" fontId="19" fillId="0" borderId="11" xfId="0" applyFont="1" applyBorder="1"/>
    <xf numFmtId="168" fontId="18" fillId="0" borderId="0" xfId="1" applyNumberFormat="1" applyFont="1" applyFill="1"/>
    <xf numFmtId="166" fontId="0" fillId="0" borderId="0" xfId="1" applyNumberFormat="1" applyFont="1" applyFill="1"/>
    <xf numFmtId="0" fontId="0" fillId="0" borderId="49" xfId="0" applyBorder="1"/>
    <xf numFmtId="0" fontId="17" fillId="0" borderId="0" xfId="0" applyFont="1"/>
    <xf numFmtId="0" fontId="0" fillId="0" borderId="0" xfId="0" applyBorder="1"/>
    <xf numFmtId="0" fontId="3" fillId="0" borderId="0" xfId="0" applyFont="1" applyBorder="1" applyAlignment="1">
      <alignment horizontal="right"/>
    </xf>
    <xf numFmtId="0" fontId="0" fillId="0" borderId="0" xfId="0" applyBorder="1" applyAlignment="1">
      <alignment horizontal="right"/>
    </xf>
    <xf numFmtId="0" fontId="0" fillId="0" borderId="20" xfId="0" applyBorder="1" applyAlignment="1">
      <alignment horizontal="right" vertical="center"/>
    </xf>
    <xf numFmtId="0" fontId="21" fillId="0" borderId="0" xfId="0" applyFont="1" applyAlignment="1">
      <alignment horizontal="center"/>
    </xf>
    <xf numFmtId="166" fontId="0" fillId="17" borderId="0" xfId="1" applyNumberFormat="1" applyFont="1" applyFill="1"/>
    <xf numFmtId="0" fontId="9" fillId="0" borderId="0" xfId="0" applyFont="1" applyAlignment="1">
      <alignment horizontal="left" vertical="center" wrapText="1"/>
    </xf>
    <xf numFmtId="0" fontId="5" fillId="0" borderId="11" xfId="0" applyFont="1" applyBorder="1" applyAlignment="1" applyProtection="1">
      <alignment horizontal="left" vertical="center"/>
      <protection locked="0"/>
    </xf>
    <xf numFmtId="0" fontId="3" fillId="0" borderId="25" xfId="0" applyFont="1" applyBorder="1" applyAlignment="1">
      <alignment horizontal="center"/>
    </xf>
    <xf numFmtId="0" fontId="3" fillId="0" borderId="26" xfId="0" applyFont="1" applyBorder="1" applyAlignment="1">
      <alignment horizontal="center"/>
    </xf>
    <xf numFmtId="0" fontId="3" fillId="0" borderId="27" xfId="0" applyFont="1" applyBorder="1" applyAlignment="1">
      <alignment horizontal="center"/>
    </xf>
    <xf numFmtId="170" fontId="0" fillId="7" borderId="0" xfId="0" applyNumberFormat="1" applyFill="1" applyAlignment="1">
      <alignment horizontal="right"/>
    </xf>
    <xf numFmtId="170" fontId="0" fillId="0" borderId="0" xfId="1" applyNumberFormat="1" applyFont="1" applyAlignment="1">
      <alignment horizontal="right"/>
    </xf>
    <xf numFmtId="169" fontId="0" fillId="17" borderId="49" xfId="1" applyNumberFormat="1" applyFont="1" applyFill="1" applyBorder="1" applyAlignment="1">
      <alignment horizontal="right" vertical="center"/>
    </xf>
    <xf numFmtId="169" fontId="0" fillId="17" borderId="38" xfId="1" applyNumberFormat="1" applyFont="1" applyFill="1" applyBorder="1" applyAlignment="1">
      <alignment horizontal="right" vertical="center"/>
    </xf>
    <xf numFmtId="169" fontId="0" fillId="17" borderId="50" xfId="1" applyNumberFormat="1" applyFont="1" applyFill="1" applyBorder="1" applyAlignment="1">
      <alignment horizontal="right" vertical="center"/>
    </xf>
    <xf numFmtId="168" fontId="0" fillId="0" borderId="38" xfId="1" applyNumberFormat="1" applyFont="1" applyBorder="1" applyAlignment="1">
      <alignment horizontal="right"/>
    </xf>
    <xf numFmtId="168" fontId="0" fillId="0" borderId="0" xfId="1" applyNumberFormat="1" applyFont="1" applyBorder="1" applyAlignment="1">
      <alignment horizontal="right"/>
    </xf>
    <xf numFmtId="168" fontId="0" fillId="0" borderId="49" xfId="1" applyNumberFormat="1" applyFont="1" applyBorder="1" applyAlignment="1">
      <alignment horizontal="right" vertical="center"/>
    </xf>
    <xf numFmtId="168" fontId="0" fillId="0" borderId="46" xfId="1" applyNumberFormat="1" applyFont="1" applyBorder="1" applyAlignment="1">
      <alignment horizontal="right" vertical="center"/>
    </xf>
    <xf numFmtId="168" fontId="0" fillId="0" borderId="38" xfId="1" applyNumberFormat="1" applyFont="1" applyBorder="1" applyAlignment="1">
      <alignment horizontal="right" vertical="center"/>
    </xf>
    <xf numFmtId="168" fontId="0" fillId="0" borderId="0" xfId="1" applyNumberFormat="1" applyFont="1" applyBorder="1" applyAlignment="1">
      <alignment horizontal="right" vertical="center"/>
    </xf>
    <xf numFmtId="168" fontId="0" fillId="0" borderId="50" xfId="1" applyNumberFormat="1" applyFont="1" applyBorder="1" applyAlignment="1">
      <alignment horizontal="right" vertical="center"/>
    </xf>
    <xf numFmtId="168" fontId="0" fillId="0" borderId="1" xfId="1" applyNumberFormat="1" applyFont="1" applyBorder="1" applyAlignment="1">
      <alignment horizontal="right" vertical="center"/>
    </xf>
    <xf numFmtId="0" fontId="0" fillId="0" borderId="46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1" xfId="0" applyBorder="1" applyAlignment="1">
      <alignment horizontal="left" vertical="center"/>
    </xf>
    <xf numFmtId="169" fontId="0" fillId="0" borderId="49" xfId="1" applyNumberFormat="1" applyFont="1" applyBorder="1" applyAlignment="1">
      <alignment horizontal="right" vertical="center"/>
    </xf>
    <xf numFmtId="169" fontId="0" fillId="0" borderId="38" xfId="1" applyNumberFormat="1" applyFont="1" applyBorder="1" applyAlignment="1">
      <alignment horizontal="right" vertical="center"/>
    </xf>
    <xf numFmtId="169" fontId="0" fillId="0" borderId="50" xfId="1" applyNumberFormat="1" applyFont="1" applyBorder="1" applyAlignment="1">
      <alignment horizontal="right" vertical="center"/>
    </xf>
    <xf numFmtId="0" fontId="0" fillId="17" borderId="46" xfId="0" applyFill="1" applyBorder="1" applyAlignment="1">
      <alignment horizontal="left" vertical="center"/>
    </xf>
    <xf numFmtId="0" fontId="0" fillId="17" borderId="0" xfId="0" applyFill="1" applyAlignment="1">
      <alignment horizontal="left" vertical="center"/>
    </xf>
    <xf numFmtId="0" fontId="0" fillId="17" borderId="1" xfId="0" applyFill="1" applyBorder="1" applyAlignment="1">
      <alignment horizontal="left" vertical="center"/>
    </xf>
    <xf numFmtId="0" fontId="0" fillId="7" borderId="1" xfId="0" applyFill="1" applyBorder="1" applyAlignment="1">
      <alignment horizontal="right"/>
    </xf>
    <xf numFmtId="0" fontId="7" fillId="18" borderId="49" xfId="2" applyFont="1" applyFill="1" applyBorder="1" applyAlignment="1">
      <alignment horizontal="center" vertical="center" wrapText="1"/>
    </xf>
    <xf numFmtId="0" fontId="7" fillId="18" borderId="46" xfId="2" applyFont="1" applyFill="1" applyBorder="1" applyAlignment="1">
      <alignment horizontal="center" vertical="center" wrapText="1"/>
    </xf>
    <xf numFmtId="0" fontId="7" fillId="18" borderId="54" xfId="2" applyFont="1" applyFill="1" applyBorder="1" applyAlignment="1">
      <alignment horizontal="center" vertical="center" wrapText="1"/>
    </xf>
    <xf numFmtId="0" fontId="7" fillId="18" borderId="50" xfId="2" applyFont="1" applyFill="1" applyBorder="1" applyAlignment="1">
      <alignment horizontal="center" vertical="center" wrapText="1"/>
    </xf>
    <xf numFmtId="0" fontId="7" fillId="18" borderId="1" xfId="2" applyFont="1" applyFill="1" applyBorder="1" applyAlignment="1">
      <alignment horizontal="center" vertical="center" wrapText="1"/>
    </xf>
    <xf numFmtId="0" fontId="7" fillId="18" borderId="47" xfId="2" applyFont="1" applyFill="1" applyBorder="1" applyAlignment="1">
      <alignment horizontal="center" vertical="center" wrapText="1"/>
    </xf>
    <xf numFmtId="0" fontId="20" fillId="0" borderId="11" xfId="0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0" fontId="19" fillId="0" borderId="11" xfId="0" applyFont="1" applyBorder="1" applyAlignment="1">
      <alignment horizontal="center"/>
    </xf>
    <xf numFmtId="0" fontId="0" fillId="0" borderId="46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7" fillId="0" borderId="46" xfId="0" applyFont="1" applyBorder="1" applyAlignment="1">
      <alignment horizontal="left" vertical="center"/>
    </xf>
    <xf numFmtId="0" fontId="17" fillId="0" borderId="0" xfId="0" applyFont="1" applyAlignment="1">
      <alignment horizontal="left" vertical="center"/>
    </xf>
    <xf numFmtId="0" fontId="17" fillId="0" borderId="1" xfId="0" applyFont="1" applyBorder="1" applyAlignment="1">
      <alignment horizontal="left" vertical="center"/>
    </xf>
    <xf numFmtId="168" fontId="0" fillId="0" borderId="49" xfId="1" applyNumberFormat="1" applyFont="1" applyBorder="1" applyAlignment="1">
      <alignment horizontal="center" vertical="center"/>
    </xf>
    <xf numFmtId="168" fontId="0" fillId="0" borderId="38" xfId="1" applyNumberFormat="1" applyFont="1" applyBorder="1" applyAlignment="1">
      <alignment horizontal="center" vertical="center"/>
    </xf>
    <xf numFmtId="168" fontId="0" fillId="0" borderId="50" xfId="1" applyNumberFormat="1" applyFont="1" applyBorder="1" applyAlignment="1">
      <alignment horizontal="center" vertical="center"/>
    </xf>
    <xf numFmtId="168" fontId="0" fillId="0" borderId="41" xfId="1" applyNumberFormat="1" applyFont="1" applyBorder="1" applyAlignment="1">
      <alignment horizontal="right"/>
    </xf>
    <xf numFmtId="168" fontId="0" fillId="0" borderId="8" xfId="1" applyNumberFormat="1" applyFont="1" applyBorder="1" applyAlignment="1">
      <alignment horizontal="right"/>
    </xf>
  </cellXfs>
  <cellStyles count="3">
    <cellStyle name="Hyperlink" xfId="2" builtinId="8"/>
    <cellStyle name="Normal" xfId="0" builtinId="0"/>
    <cellStyle name="Percent" xfId="1" builtinId="5"/>
  </cellStyles>
  <dxfs count="7">
    <dxf>
      <fill>
        <patternFill>
          <bgColor rgb="FFFF505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gradientFill>
          <stop position="0">
            <color rgb="FF92D050"/>
          </stop>
          <stop position="1">
            <color rgb="FF00B0F0"/>
          </stop>
        </gradientFill>
      </fill>
    </dxf>
    <dxf>
      <fill>
        <patternFill patternType="darkUp">
          <bgColor theme="1" tint="0.499984740745262"/>
        </patternFill>
      </fill>
    </dxf>
    <dxf>
      <fill>
        <patternFill patternType="lightUp">
          <bgColor theme="1" tint="0.499984740745262"/>
        </patternFill>
      </fill>
    </dxf>
    <dxf>
      <fill>
        <patternFill patternType="lightUp">
          <bgColor theme="1" tint="0.499984740745262"/>
        </patternFill>
      </fill>
    </dxf>
  </dxfs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chartsheet" Target="chartsheets/sheet1.xml"/><Relationship Id="rId7" Type="http://schemas.openxmlformats.org/officeDocument/2006/relationships/worksheet" Target="worksheets/sheet6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calcChain" Target="calcChain.xml"/><Relationship Id="rId5" Type="http://schemas.openxmlformats.org/officeDocument/2006/relationships/worksheet" Target="worksheets/sheet4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3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F9CF-424A-8D18-824D74C69B5B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4-F9CF-424A-8D18-824D74C69B5B}"/>
              </c:ext>
            </c:extLst>
          </c:dPt>
          <c:dPt>
            <c:idx val="2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F9CF-424A-8D18-824D74C69B5B}"/>
              </c:ext>
            </c:extLst>
          </c:dPt>
          <c:dPt>
            <c:idx val="3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2-F9CF-424A-8D18-824D74C69B5B}"/>
              </c:ext>
            </c:extLst>
          </c:dPt>
          <c:dPt>
            <c:idx val="4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6-F9CF-424A-8D18-824D74C69B5B}"/>
              </c:ext>
            </c:extLst>
          </c:dPt>
          <c:dPt>
            <c:idx val="5"/>
            <c:bubble3D val="0"/>
            <c:spPr>
              <a:solidFill>
                <a:srgbClr val="00B0F0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F9CF-424A-8D18-824D74C69B5B}"/>
              </c:ext>
            </c:extLst>
          </c:dPt>
          <c:dPt>
            <c:idx val="6"/>
            <c:bubble3D val="0"/>
            <c:spPr>
              <a:solidFill>
                <a:srgbClr val="0070C0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8-F9CF-424A-8D18-824D74C69B5B}"/>
              </c:ext>
            </c:extLst>
          </c:dPt>
          <c:dPt>
            <c:idx val="7"/>
            <c:bubble3D val="0"/>
            <c:spPr>
              <a:solidFill>
                <a:srgbClr val="002060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F9CF-424A-8D18-824D74C69B5B}"/>
              </c:ext>
            </c:extLst>
          </c:dPt>
          <c:dPt>
            <c:idx val="8"/>
            <c:bubble3D val="0"/>
            <c:spPr>
              <a:solidFill>
                <a:srgbClr val="7030A0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A-F9CF-424A-8D18-824D74C69B5B}"/>
              </c:ext>
            </c:extLst>
          </c:dPt>
          <c:dLbls>
            <c:spPr>
              <a:solidFill>
                <a:schemeClr val="bg1">
                  <a:alpha val="5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'Defensive Stats'!$A$4:$A$12</c:f>
              <c:strCache>
                <c:ptCount val="9"/>
                <c:pt idx="0">
                  <c:v>Melee Resistance</c:v>
                </c:pt>
                <c:pt idx="1">
                  <c:v>Ranged Resistance</c:v>
                </c:pt>
                <c:pt idx="2">
                  <c:v>Magic Resistance</c:v>
                </c:pt>
                <c:pt idx="3">
                  <c:v>Physical Resistance</c:v>
                </c:pt>
                <c:pt idx="4">
                  <c:v>Fire Resistance</c:v>
                </c:pt>
                <c:pt idx="5">
                  <c:v>Cold Resistance</c:v>
                </c:pt>
                <c:pt idx="6">
                  <c:v>Lightning Resistance</c:v>
                </c:pt>
                <c:pt idx="7">
                  <c:v>Arcane Resistance</c:v>
                </c:pt>
                <c:pt idx="8">
                  <c:v>Evasion Rating</c:v>
                </c:pt>
              </c:strCache>
            </c:strRef>
          </c:cat>
          <c:val>
            <c:numRef>
              <c:f>'Defensive Stats'!$C$4:$C$12</c:f>
              <c:numCache>
                <c:formatCode>0.00000</c:formatCode>
                <c:ptCount val="9"/>
                <c:pt idx="0">
                  <c:v>65.132155989999987</c:v>
                </c:pt>
                <c:pt idx="1">
                  <c:v>53.413702749639434</c:v>
                </c:pt>
                <c:pt idx="2">
                  <c:v>76.92146396158725</c:v>
                </c:pt>
                <c:pt idx="3">
                  <c:v>91.111084893197599</c:v>
                </c:pt>
                <c:pt idx="4">
                  <c:v>67.018127558171258</c:v>
                </c:pt>
                <c:pt idx="5">
                  <c:v>63.460570958328844</c:v>
                </c:pt>
                <c:pt idx="6">
                  <c:v>70.229312873814109</c:v>
                </c:pt>
                <c:pt idx="7">
                  <c:v>70.229312873814109</c:v>
                </c:pt>
                <c:pt idx="8">
                  <c:v>14.618503175453757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9CF-424A-8D18-824D74C69B5B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908357896387731E-2"/>
          <c:y val="2.2402178541241668E-2"/>
          <c:w val="0.92716639220624664"/>
          <c:h val="0.92704969082254551"/>
        </c:manualLayout>
      </c:layout>
      <c:scatterChart>
        <c:scatterStyle val="smoothMarker"/>
        <c:varyColors val="0"/>
        <c:ser>
          <c:idx val="0"/>
          <c:order val="0"/>
          <c:tx>
            <c:v>Resist</c:v>
          </c:tx>
          <c:marker>
            <c:symbol val="none"/>
          </c:marker>
          <c:xVal>
            <c:numRef>
              <c:f>Hidden!$Z$3:$Z$203</c:f>
              <c:numCache>
                <c:formatCode>General</c:formatCode>
                <c:ptCount val="201"/>
                <c:pt idx="0">
                  <c:v>0</c:v>
                </c:pt>
                <c:pt idx="1">
                  <c:v>5.6853468540453473</c:v>
                </c:pt>
                <c:pt idx="2">
                  <c:v>11.047462019582655</c:v>
                </c:pt>
                <c:pt idx="3">
                  <c:v>16.104722339245814</c:v>
                </c:pt>
                <c:pt idx="4">
                  <c:v>20.874459868424101</c:v>
                </c:pt>
                <c:pt idx="5">
                  <c:v>25.37302127504104</c:v>
                </c:pt>
                <c:pt idx="6">
                  <c:v>29.615823862249592</c:v>
                </c:pt>
                <c:pt idx="7">
                  <c:v>33.617408406042912</c:v>
                </c:pt>
                <c:pt idx="8">
                  <c:v>37.391488988863728</c:v>
                </c:pt>
                <c:pt idx="9">
                  <c:v>40.950999999999979</c:v>
                </c:pt>
                <c:pt idx="10">
                  <c:v>44.308140463845234</c:v>
                </c:pt>
                <c:pt idx="11">
                  <c:v>47.474415847943362</c:v>
                </c:pt>
                <c:pt idx="12">
                  <c:v>50.460677494101262</c:v>
                </c:pt>
                <c:pt idx="13">
                  <c:v>53.277159807705758</c:v>
                </c:pt>
                <c:pt idx="14">
                  <c:v>55.933515332698981</c:v>
                </c:pt>
                <c:pt idx="15">
                  <c:v>58.438847832419761</c:v>
                </c:pt>
                <c:pt idx="16">
                  <c:v>60.801743489684277</c:v>
                </c:pt>
                <c:pt idx="17">
                  <c:v>63.030300333034141</c:v>
                </c:pt>
                <c:pt idx="18">
                  <c:v>65.132155989999987</c:v>
                </c:pt>
                <c:pt idx="19">
                  <c:v>67.114513862495954</c:v>
                </c:pt>
                <c:pt idx="20">
                  <c:v>68.984167814052071</c:v>
                </c:pt>
                <c:pt idx="21">
                  <c:v>70.747525453491846</c:v>
                </c:pt>
                <c:pt idx="22">
                  <c:v>72.410630094852152</c:v>
                </c:pt>
                <c:pt idx="23">
                  <c:v>73.979181468805422</c:v>
                </c:pt>
                <c:pt idx="24">
                  <c:v>75.458555256565546</c:v>
                </c:pt>
                <c:pt idx="25">
                  <c:v>76.853821513223664</c:v>
                </c:pt>
                <c:pt idx="26">
                  <c:v>78.169762043653321</c:v>
                </c:pt>
                <c:pt idx="27">
                  <c:v>79.410886790535088</c:v>
                </c:pt>
                <c:pt idx="28">
                  <c:v>80.581449290665248</c:v>
                </c:pt>
                <c:pt idx="29">
                  <c:v>81.685461252519616</c:v>
                </c:pt>
                <c:pt idx="30">
                  <c:v>82.726706305032408</c:v>
                </c:pt>
                <c:pt idx="31">
                  <c:v>83.708752964709248</c:v>
                </c:pt>
                <c:pt idx="32">
                  <c:v>84.634966865514912</c:v>
                </c:pt>
                <c:pt idx="33">
                  <c:v>85.508522293449388</c:v>
                </c:pt>
                <c:pt idx="34">
                  <c:v>86.332413065343445</c:v>
                </c:pt>
                <c:pt idx="35">
                  <c:v>87.109462789156851</c:v>
                </c:pt>
                <c:pt idx="36">
                  <c:v>87.842334540943057</c:v>
                </c:pt>
                <c:pt idx="37">
                  <c:v>88.533539991644915</c:v>
                </c:pt>
                <c:pt idx="38">
                  <c:v>89.185448015000304</c:v>
                </c:pt>
                <c:pt idx="39">
                  <c:v>89.800292806058579</c:v>
                </c:pt>
                <c:pt idx="40">
                  <c:v>90.380181538131168</c:v>
                </c:pt>
                <c:pt idx="41">
                  <c:v>90.927101584417898</c:v>
                </c:pt>
                <c:pt idx="42">
                  <c:v>91.442927329058918</c:v>
                </c:pt>
                <c:pt idx="43">
                  <c:v>91.929426590954648</c:v>
                </c:pt>
                <c:pt idx="44">
                  <c:v>92.38826668236922</c:v>
                </c:pt>
                <c:pt idx="45">
                  <c:v>92.821020123081468</c:v>
                </c:pt>
                <c:pt idx="46">
                  <c:v>93.229170029666406</c:v>
                </c:pt>
                <c:pt idx="47">
                  <c:v>93.614115198377519</c:v>
                </c:pt>
                <c:pt idx="48">
                  <c:v>93.97717489904953</c:v>
                </c:pt>
                <c:pt idx="49">
                  <c:v>94.319593396451069</c:v>
                </c:pt>
                <c:pt idx="50">
                  <c:v>94.642544214582927</c:v>
                </c:pt>
                <c:pt idx="51">
                  <c:v>94.947134158536002</c:v>
                </c:pt>
                <c:pt idx="52">
                  <c:v>95.234407107692803</c:v>
                </c:pt>
                <c:pt idx="53">
                  <c:v>95.505347593272205</c:v>
                </c:pt>
                <c:pt idx="54">
                  <c:v>95.760884172478384</c:v>
                </c:pt>
                <c:pt idx="55">
                  <c:v>96.00189261081772</c:v>
                </c:pt>
                <c:pt idx="56">
                  <c:v>96.229198883489943</c:v>
                </c:pt>
                <c:pt idx="57">
                  <c:v>96.443582006139764</c:v>
                </c:pt>
                <c:pt idx="58">
                  <c:v>96.645776704670396</c:v>
                </c:pt>
                <c:pt idx="59">
                  <c:v>96.836475933269071</c:v>
                </c:pt>
                <c:pt idx="60">
                  <c:v>97.016333249273927</c:v>
                </c:pt>
                <c:pt idx="61">
                  <c:v>97.185965053021533</c:v>
                </c:pt>
                <c:pt idx="62">
                  <c:v>97.345952700351305</c:v>
                </c:pt>
                <c:pt idx="63">
                  <c:v>97.496844495006755</c:v>
                </c:pt>
                <c:pt idx="64">
                  <c:v>97.639157567761757</c:v>
                </c:pt>
                <c:pt idx="65">
                  <c:v>97.77337964871198</c:v>
                </c:pt>
                <c:pt idx="66">
                  <c:v>97.899970738805465</c:v>
                </c:pt>
                <c:pt idx="67">
                  <c:v>98.019364686340822</c:v>
                </c:pt>
                <c:pt idx="68">
                  <c:v>98.131970673836051</c:v>
                </c:pt>
                <c:pt idx="69">
                  <c:v>98.238174620363765</c:v>
                </c:pt>
                <c:pt idx="70">
                  <c:v>98.33834050415868</c:v>
                </c:pt>
                <c:pt idx="71">
                  <c:v>98.432811610030441</c:v>
                </c:pt>
                <c:pt idx="72">
                  <c:v>98.521911705856539</c:v>
                </c:pt>
                <c:pt idx="73">
                  <c:v>98.605946152187641</c:v>
                </c:pt>
                <c:pt idx="74">
                  <c:v>98.685202948767937</c:v>
                </c:pt>
                <c:pt idx="75">
                  <c:v>98.759953721557238</c:v>
                </c:pt>
                <c:pt idx="76">
                  <c:v>98.830454653637389</c:v>
                </c:pt>
                <c:pt idx="77">
                  <c:v>98.896947363193448</c:v>
                </c:pt>
                <c:pt idx="78">
                  <c:v>98.959659731578597</c:v>
                </c:pt>
                <c:pt idx="79">
                  <c:v>99.018806684300671</c:v>
                </c:pt>
                <c:pt idx="80">
                  <c:v>99.074590927606877</c:v>
                </c:pt>
                <c:pt idx="81">
                  <c:v>99.127203643191237</c:v>
                </c:pt>
                <c:pt idx="82">
                  <c:v>99.176825143405281</c:v>
                </c:pt>
                <c:pt idx="83">
                  <c:v>99.22362548921798</c:v>
                </c:pt>
                <c:pt idx="84">
                  <c:v>99.267765073042341</c:v>
                </c:pt>
                <c:pt idx="85">
                  <c:v>99.309395168426335</c:v>
                </c:pt>
                <c:pt idx="86">
                  <c:v>99.348658448492102</c:v>
                </c:pt>
                <c:pt idx="87">
                  <c:v>99.385689474899834</c:v>
                </c:pt>
                <c:pt idx="88">
                  <c:v>99.420615159012698</c:v>
                </c:pt>
                <c:pt idx="89">
                  <c:v>99.453555196842586</c:v>
                </c:pt>
                <c:pt idx="90">
                  <c:v>99.484622479267998</c:v>
                </c:pt>
                <c:pt idx="91">
                  <c:v>99.513923478929371</c:v>
                </c:pt>
                <c:pt idx="92">
                  <c:v>99.541558615128324</c:v>
                </c:pt>
                <c:pt idx="93">
                  <c:v>99.567622597980758</c:v>
                </c:pt>
                <c:pt idx="94">
                  <c:v>99.592204753004069</c:v>
                </c:pt>
                <c:pt idx="95">
                  <c:v>99.615389327250099</c:v>
                </c:pt>
                <c:pt idx="96">
                  <c:v>99.637255778033605</c:v>
                </c:pt>
                <c:pt idx="97">
                  <c:v>99.657879045245409</c:v>
                </c:pt>
                <c:pt idx="98">
                  <c:v>99.677329808183572</c:v>
                </c:pt>
                <c:pt idx="99">
                  <c:v>99.695674727782958</c:v>
                </c:pt>
                <c:pt idx="100">
                  <c:v>99.712976675073008</c:v>
                </c:pt>
                <c:pt idx="101">
                  <c:v>99.72929494664713</c:v>
                </c:pt>
                <c:pt idx="102">
                  <c:v>99.744685467881666</c:v>
                </c:pt>
                <c:pt idx="103">
                  <c:v>99.759200984601364</c:v>
                </c:pt>
                <c:pt idx="104">
                  <c:v>99.772891243847923</c:v>
                </c:pt>
                <c:pt idx="105">
                  <c:v>99.78580316437106</c:v>
                </c:pt>
                <c:pt idx="106">
                  <c:v>99.797980997426961</c:v>
                </c:pt>
                <c:pt idx="107">
                  <c:v>99.809466478434317</c:v>
                </c:pt>
                <c:pt idx="108">
                  <c:v>99.820298970008565</c:v>
                </c:pt>
                <c:pt idx="109">
                  <c:v>99.830515596863862</c:v>
                </c:pt>
                <c:pt idx="110">
                  <c:v>99.840151373045657</c:v>
                </c:pt>
                <c:pt idx="111">
                  <c:v>99.849239321929446</c:v>
                </c:pt>
                <c:pt idx="112">
                  <c:v>99.857810589397261</c:v>
                </c:pt>
                <c:pt idx="113">
                  <c:v>99.865894550579753</c:v>
                </c:pt>
                <c:pt idx="114">
                  <c:v>99.873518910529469</c:v>
                </c:pt>
                <c:pt idx="115">
                  <c:v>99.880709799170646</c:v>
                </c:pt>
                <c:pt idx="116">
                  <c:v>99.887491860850687</c:v>
                </c:pt>
                <c:pt idx="117">
                  <c:v>99.893888338800352</c:v>
                </c:pt>
                <c:pt idx="118">
                  <c:v>99.899921154792139</c:v>
                </c:pt>
                <c:pt idx="119">
                  <c:v>99.905610984269728</c:v>
                </c:pt>
                <c:pt idx="120">
                  <c:v>99.910977327206112</c:v>
                </c:pt>
                <c:pt idx="121">
                  <c:v>99.916038574933182</c:v>
                </c:pt>
                <c:pt idx="122">
                  <c:v>99.920812073171845</c:v>
                </c:pt>
                <c:pt idx="123">
                  <c:v>99.925314181478541</c:v>
                </c:pt>
                <c:pt idx="124">
                  <c:v>99.929560329312267</c:v>
                </c:pt>
                <c:pt idx="125">
                  <c:v>99.933565068913722</c:v>
                </c:pt>
                <c:pt idx="126">
                  <c:v>99.937342125178219</c:v>
                </c:pt>
                <c:pt idx="127">
                  <c:v>99.94090444269321</c:v>
                </c:pt>
                <c:pt idx="128">
                  <c:v>99.944264230101425</c:v>
                </c:pt>
                <c:pt idx="129">
                  <c:v>99.947433001941945</c:v>
                </c:pt>
                <c:pt idx="130">
                  <c:v>99.950421618112301</c:v>
                </c:pt>
                <c:pt idx="131">
                  <c:v>99.95324032108725</c:v>
                </c:pt>
                <c:pt idx="132">
                  <c:v>99.955898771021268</c:v>
                </c:pt>
                <c:pt idx="133">
                  <c:v>99.958406078855617</c:v>
                </c:pt>
                <c:pt idx="134">
                  <c:v>99.960770837542867</c:v>
                </c:pt>
                <c:pt idx="135">
                  <c:v>99.963001151496485</c:v>
                </c:pt>
                <c:pt idx="136">
                  <c:v>99.96510466436591</c:v>
                </c:pt>
                <c:pt idx="137">
                  <c:v>99.967088585232602</c:v>
                </c:pt>
                <c:pt idx="138">
                  <c:v>99.968959713316693</c:v>
                </c:pt>
                <c:pt idx="139">
                  <c:v>99.970724461279133</c:v>
                </c:pt>
                <c:pt idx="140">
                  <c:v>99.97238887719881</c:v>
                </c:pt>
                <c:pt idx="141">
                  <c:v>99.973958665300344</c:v>
                </c:pt>
                <c:pt idx="142">
                  <c:v>99.975439205503449</c:v>
                </c:pt>
                <c:pt idx="143">
                  <c:v>99.97683557186069</c:v>
                </c:pt>
                <c:pt idx="144">
                  <c:v>99.978152549947168</c:v>
                </c:pt>
                <c:pt idx="145">
                  <c:v>99.979394653261437</c:v>
                </c:pt>
                <c:pt idx="146">
                  <c:v>99.980566138693987</c:v>
                </c:pt>
                <c:pt idx="147">
                  <c:v>99.981671021116384</c:v>
                </c:pt>
                <c:pt idx="148">
                  <c:v>99.982713087140723</c:v>
                </c:pt>
                <c:pt idx="149">
                  <c:v>99.983695908097133</c:v>
                </c:pt>
                <c:pt idx="150">
                  <c:v>99.984622852273191</c:v>
                </c:pt>
                <c:pt idx="151">
                  <c:v>99.985497096457735</c:v>
                </c:pt>
                <c:pt idx="152">
                  <c:v>99.986321636828009</c:v>
                </c:pt>
                <c:pt idx="153">
                  <c:v>99.987099299218301</c:v>
                </c:pt>
                <c:pt idx="154">
                  <c:v>99.987832748804337</c:v>
                </c:pt>
                <c:pt idx="155">
                  <c:v>99.988524499237414</c:v>
                </c:pt>
                <c:pt idx="156">
                  <c:v>99.989176921259002</c:v>
                </c:pt>
                <c:pt idx="157">
                  <c:v>99.989792250825715</c:v>
                </c:pt>
                <c:pt idx="158">
                  <c:v>99.990372596772275</c:v>
                </c:pt>
                <c:pt idx="159">
                  <c:v>99.990919948038808</c:v>
                </c:pt>
                <c:pt idx="160">
                  <c:v>99.991436180487327</c:v>
                </c:pt>
                <c:pt idx="161">
                  <c:v>99.991923063330574</c:v>
                </c:pt>
                <c:pt idx="162">
                  <c:v>99.992382265195417</c:v>
                </c:pt>
                <c:pt idx="163">
                  <c:v>99.992815359841487</c:v>
                </c:pt>
                <c:pt idx="164">
                  <c:v>99.993223831554701</c:v>
                </c:pt>
                <c:pt idx="165">
                  <c:v>99.993609080234236</c:v>
                </c:pt>
                <c:pt idx="166">
                  <c:v>99.993972426190084</c:v>
                </c:pt>
                <c:pt idx="167">
                  <c:v>99.994315114668055</c:v>
                </c:pt>
                <c:pt idx="168">
                  <c:v>99.994638320117431</c:v>
                </c:pt>
                <c:pt idx="169">
                  <c:v>99.99494315021596</c:v>
                </c:pt>
                <c:pt idx="170">
                  <c:v>99.99523064966607</c:v>
                </c:pt>
                <c:pt idx="171">
                  <c:v>99.995501803775241</c:v>
                </c:pt>
                <c:pt idx="172">
                  <c:v>99.995757541832802</c:v>
                </c:pt>
                <c:pt idx="173">
                  <c:v>99.995998740294738</c:v>
                </c:pt>
                <c:pt idx="174">
                  <c:v>99.99622622578751</c:v>
                </c:pt>
                <c:pt idx="175">
                  <c:v>99.996440777940975</c:v>
                </c:pt>
                <c:pt idx="176">
                  <c:v>99.996643132060342</c:v>
                </c:pt>
                <c:pt idx="177">
                  <c:v>99.996833981646134</c:v>
                </c:pt>
                <c:pt idx="178">
                  <c:v>99.997013980771015</c:v>
                </c:pt>
                <c:pt idx="179">
                  <c:v>99.997183746321312</c:v>
                </c:pt>
                <c:pt idx="180">
                  <c:v>99.997343860111243</c:v>
                </c:pt>
                <c:pt idx="181">
                  <c:v>99.997494870876849</c:v>
                </c:pt>
                <c:pt idx="182">
                  <c:v>99.99763729615664</c:v>
                </c:pt>
                <c:pt idx="183">
                  <c:v>99.997771624065265</c:v>
                </c:pt>
                <c:pt idx="184">
                  <c:v>99.997898314966378</c:v>
                </c:pt>
                <c:pt idx="185">
                  <c:v>99.998017803050317</c:v>
                </c:pt>
                <c:pt idx="186">
                  <c:v>99.998130497822231</c:v>
                </c:pt>
                <c:pt idx="187">
                  <c:v>99.998236785505483</c:v>
                </c:pt>
                <c:pt idx="188">
                  <c:v>99.998337030365278</c:v>
                </c:pt>
                <c:pt idx="189">
                  <c:v>99.998431575957085</c:v>
                </c:pt>
                <c:pt idx="190">
                  <c:v>99.998520746304067</c:v>
                </c:pt>
                <c:pt idx="191">
                  <c:v>99.998604847007527</c:v>
                </c:pt>
                <c:pt idx="192">
                  <c:v>99.998684166294311</c:v>
                </c:pt>
                <c:pt idx="193">
                  <c:v>99.998758976004481</c:v>
                </c:pt>
                <c:pt idx="194">
                  <c:v>99.998829532523175</c:v>
                </c:pt>
                <c:pt idx="195">
                  <c:v>99.998896077659055</c:v>
                </c:pt>
                <c:pt idx="196">
                  <c:v>99.998958839473133</c:v>
                </c:pt>
                <c:pt idx="197">
                  <c:v>99.999018033060395</c:v>
                </c:pt>
                <c:pt idx="198">
                  <c:v>99.999073861286902</c:v>
                </c:pt>
                <c:pt idx="199">
                  <c:v>99.999126515485088</c:v>
                </c:pt>
                <c:pt idx="200">
                  <c:v>99.999176176109486</c:v>
                </c:pt>
              </c:numCache>
            </c:numRef>
          </c:xVal>
          <c:yVal>
            <c:numRef>
              <c:f>Hidden!$Y$3:$Y$203</c:f>
              <c:numCache>
                <c:formatCode>General</c:formatCode>
                <c:ptCount val="201"/>
                <c:pt idx="0">
                  <c:v>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  <c:pt idx="8">
                  <c:v>800</c:v>
                </c:pt>
                <c:pt idx="9">
                  <c:v>900</c:v>
                </c:pt>
                <c:pt idx="10">
                  <c:v>1000</c:v>
                </c:pt>
                <c:pt idx="11">
                  <c:v>1100</c:v>
                </c:pt>
                <c:pt idx="12">
                  <c:v>1200</c:v>
                </c:pt>
                <c:pt idx="13">
                  <c:v>1300</c:v>
                </c:pt>
                <c:pt idx="14">
                  <c:v>1400</c:v>
                </c:pt>
                <c:pt idx="15">
                  <c:v>1500</c:v>
                </c:pt>
                <c:pt idx="16">
                  <c:v>1600</c:v>
                </c:pt>
                <c:pt idx="17">
                  <c:v>1700</c:v>
                </c:pt>
                <c:pt idx="18">
                  <c:v>1800</c:v>
                </c:pt>
                <c:pt idx="19">
                  <c:v>1900</c:v>
                </c:pt>
                <c:pt idx="20">
                  <c:v>2000</c:v>
                </c:pt>
                <c:pt idx="21">
                  <c:v>2100</c:v>
                </c:pt>
                <c:pt idx="22">
                  <c:v>2200</c:v>
                </c:pt>
                <c:pt idx="23">
                  <c:v>2300</c:v>
                </c:pt>
                <c:pt idx="24">
                  <c:v>2400</c:v>
                </c:pt>
                <c:pt idx="25">
                  <c:v>2500</c:v>
                </c:pt>
                <c:pt idx="26">
                  <c:v>2600</c:v>
                </c:pt>
                <c:pt idx="27">
                  <c:v>2700</c:v>
                </c:pt>
                <c:pt idx="28">
                  <c:v>2800</c:v>
                </c:pt>
                <c:pt idx="29">
                  <c:v>2900</c:v>
                </c:pt>
                <c:pt idx="30">
                  <c:v>3000</c:v>
                </c:pt>
                <c:pt idx="31">
                  <c:v>3100</c:v>
                </c:pt>
                <c:pt idx="32">
                  <c:v>3200</c:v>
                </c:pt>
                <c:pt idx="33">
                  <c:v>3300</c:v>
                </c:pt>
                <c:pt idx="34">
                  <c:v>3400</c:v>
                </c:pt>
                <c:pt idx="35">
                  <c:v>3500</c:v>
                </c:pt>
                <c:pt idx="36">
                  <c:v>3600</c:v>
                </c:pt>
                <c:pt idx="37">
                  <c:v>3700</c:v>
                </c:pt>
                <c:pt idx="38">
                  <c:v>3800</c:v>
                </c:pt>
                <c:pt idx="39">
                  <c:v>3900</c:v>
                </c:pt>
                <c:pt idx="40">
                  <c:v>4000</c:v>
                </c:pt>
                <c:pt idx="41">
                  <c:v>4100</c:v>
                </c:pt>
                <c:pt idx="42">
                  <c:v>4200</c:v>
                </c:pt>
                <c:pt idx="43">
                  <c:v>4300</c:v>
                </c:pt>
                <c:pt idx="44">
                  <c:v>4400</c:v>
                </c:pt>
                <c:pt idx="45">
                  <c:v>4500</c:v>
                </c:pt>
                <c:pt idx="46">
                  <c:v>4600</c:v>
                </c:pt>
                <c:pt idx="47">
                  <c:v>4700</c:v>
                </c:pt>
                <c:pt idx="48">
                  <c:v>4800</c:v>
                </c:pt>
                <c:pt idx="49">
                  <c:v>4900</c:v>
                </c:pt>
                <c:pt idx="50">
                  <c:v>5000</c:v>
                </c:pt>
                <c:pt idx="51">
                  <c:v>5100</c:v>
                </c:pt>
                <c:pt idx="52">
                  <c:v>5200</c:v>
                </c:pt>
                <c:pt idx="53">
                  <c:v>5300</c:v>
                </c:pt>
                <c:pt idx="54">
                  <c:v>5400</c:v>
                </c:pt>
                <c:pt idx="55">
                  <c:v>5500</c:v>
                </c:pt>
                <c:pt idx="56">
                  <c:v>5600</c:v>
                </c:pt>
                <c:pt idx="57">
                  <c:v>5700</c:v>
                </c:pt>
                <c:pt idx="58">
                  <c:v>5800</c:v>
                </c:pt>
                <c:pt idx="59">
                  <c:v>5900</c:v>
                </c:pt>
                <c:pt idx="60">
                  <c:v>6000</c:v>
                </c:pt>
                <c:pt idx="61">
                  <c:v>6100</c:v>
                </c:pt>
                <c:pt idx="62">
                  <c:v>6200</c:v>
                </c:pt>
                <c:pt idx="63">
                  <c:v>6300</c:v>
                </c:pt>
                <c:pt idx="64">
                  <c:v>6400</c:v>
                </c:pt>
                <c:pt idx="65">
                  <c:v>6500</c:v>
                </c:pt>
                <c:pt idx="66">
                  <c:v>6600</c:v>
                </c:pt>
                <c:pt idx="67">
                  <c:v>6700</c:v>
                </c:pt>
                <c:pt idx="68">
                  <c:v>6800</c:v>
                </c:pt>
                <c:pt idx="69">
                  <c:v>6900</c:v>
                </c:pt>
                <c:pt idx="70">
                  <c:v>7000</c:v>
                </c:pt>
                <c:pt idx="71">
                  <c:v>7100</c:v>
                </c:pt>
                <c:pt idx="72">
                  <c:v>7200</c:v>
                </c:pt>
                <c:pt idx="73">
                  <c:v>7300</c:v>
                </c:pt>
                <c:pt idx="74">
                  <c:v>7400</c:v>
                </c:pt>
                <c:pt idx="75">
                  <c:v>7500</c:v>
                </c:pt>
                <c:pt idx="76">
                  <c:v>7600</c:v>
                </c:pt>
                <c:pt idx="77">
                  <c:v>7700</c:v>
                </c:pt>
                <c:pt idx="78">
                  <c:v>7800</c:v>
                </c:pt>
                <c:pt idx="79">
                  <c:v>7900</c:v>
                </c:pt>
                <c:pt idx="80">
                  <c:v>8000</c:v>
                </c:pt>
                <c:pt idx="81">
                  <c:v>8100</c:v>
                </c:pt>
                <c:pt idx="82">
                  <c:v>8200</c:v>
                </c:pt>
                <c:pt idx="83">
                  <c:v>8300</c:v>
                </c:pt>
                <c:pt idx="84">
                  <c:v>8400</c:v>
                </c:pt>
                <c:pt idx="85">
                  <c:v>8500</c:v>
                </c:pt>
                <c:pt idx="86">
                  <c:v>8600</c:v>
                </c:pt>
                <c:pt idx="87">
                  <c:v>8700</c:v>
                </c:pt>
                <c:pt idx="88">
                  <c:v>8800</c:v>
                </c:pt>
                <c:pt idx="89">
                  <c:v>8900</c:v>
                </c:pt>
                <c:pt idx="90">
                  <c:v>9000</c:v>
                </c:pt>
                <c:pt idx="91">
                  <c:v>9100</c:v>
                </c:pt>
                <c:pt idx="92">
                  <c:v>9200</c:v>
                </c:pt>
                <c:pt idx="93">
                  <c:v>9300</c:v>
                </c:pt>
                <c:pt idx="94">
                  <c:v>9400</c:v>
                </c:pt>
                <c:pt idx="95">
                  <c:v>9500</c:v>
                </c:pt>
                <c:pt idx="96">
                  <c:v>9600</c:v>
                </c:pt>
                <c:pt idx="97">
                  <c:v>9700</c:v>
                </c:pt>
                <c:pt idx="98">
                  <c:v>9800</c:v>
                </c:pt>
                <c:pt idx="99">
                  <c:v>9900</c:v>
                </c:pt>
                <c:pt idx="100">
                  <c:v>10000</c:v>
                </c:pt>
                <c:pt idx="101">
                  <c:v>10100</c:v>
                </c:pt>
                <c:pt idx="102">
                  <c:v>10200</c:v>
                </c:pt>
                <c:pt idx="103">
                  <c:v>10300</c:v>
                </c:pt>
                <c:pt idx="104">
                  <c:v>10400</c:v>
                </c:pt>
                <c:pt idx="105">
                  <c:v>10500</c:v>
                </c:pt>
                <c:pt idx="106">
                  <c:v>10600</c:v>
                </c:pt>
                <c:pt idx="107">
                  <c:v>10700</c:v>
                </c:pt>
                <c:pt idx="108">
                  <c:v>10800</c:v>
                </c:pt>
                <c:pt idx="109">
                  <c:v>10900</c:v>
                </c:pt>
                <c:pt idx="110">
                  <c:v>11000</c:v>
                </c:pt>
                <c:pt idx="111">
                  <c:v>11100</c:v>
                </c:pt>
                <c:pt idx="112">
                  <c:v>11200</c:v>
                </c:pt>
                <c:pt idx="113">
                  <c:v>11300</c:v>
                </c:pt>
                <c:pt idx="114">
                  <c:v>11400</c:v>
                </c:pt>
                <c:pt idx="115">
                  <c:v>11500</c:v>
                </c:pt>
                <c:pt idx="116">
                  <c:v>11600</c:v>
                </c:pt>
                <c:pt idx="117">
                  <c:v>11700</c:v>
                </c:pt>
                <c:pt idx="118">
                  <c:v>11800</c:v>
                </c:pt>
                <c:pt idx="119">
                  <c:v>11900</c:v>
                </c:pt>
                <c:pt idx="120">
                  <c:v>12000</c:v>
                </c:pt>
                <c:pt idx="121">
                  <c:v>12100</c:v>
                </c:pt>
                <c:pt idx="122">
                  <c:v>12200</c:v>
                </c:pt>
                <c:pt idx="123">
                  <c:v>12300</c:v>
                </c:pt>
                <c:pt idx="124">
                  <c:v>12400</c:v>
                </c:pt>
                <c:pt idx="125">
                  <c:v>12500</c:v>
                </c:pt>
                <c:pt idx="126">
                  <c:v>12600</c:v>
                </c:pt>
                <c:pt idx="127">
                  <c:v>12700</c:v>
                </c:pt>
                <c:pt idx="128">
                  <c:v>12800</c:v>
                </c:pt>
                <c:pt idx="129">
                  <c:v>12900</c:v>
                </c:pt>
                <c:pt idx="130">
                  <c:v>13000</c:v>
                </c:pt>
                <c:pt idx="131">
                  <c:v>13100</c:v>
                </c:pt>
                <c:pt idx="132">
                  <c:v>13200</c:v>
                </c:pt>
                <c:pt idx="133">
                  <c:v>13300</c:v>
                </c:pt>
                <c:pt idx="134">
                  <c:v>13400</c:v>
                </c:pt>
                <c:pt idx="135">
                  <c:v>13500</c:v>
                </c:pt>
                <c:pt idx="136">
                  <c:v>13600</c:v>
                </c:pt>
                <c:pt idx="137">
                  <c:v>13700</c:v>
                </c:pt>
                <c:pt idx="138">
                  <c:v>13800</c:v>
                </c:pt>
                <c:pt idx="139">
                  <c:v>13900</c:v>
                </c:pt>
                <c:pt idx="140">
                  <c:v>14000</c:v>
                </c:pt>
                <c:pt idx="141">
                  <c:v>14100</c:v>
                </c:pt>
                <c:pt idx="142">
                  <c:v>14200</c:v>
                </c:pt>
                <c:pt idx="143">
                  <c:v>14300</c:v>
                </c:pt>
                <c:pt idx="144">
                  <c:v>14400</c:v>
                </c:pt>
                <c:pt idx="145">
                  <c:v>14500</c:v>
                </c:pt>
                <c:pt idx="146">
                  <c:v>14600</c:v>
                </c:pt>
                <c:pt idx="147">
                  <c:v>14700</c:v>
                </c:pt>
                <c:pt idx="148">
                  <c:v>14800</c:v>
                </c:pt>
                <c:pt idx="149">
                  <c:v>14900</c:v>
                </c:pt>
                <c:pt idx="150">
                  <c:v>15000</c:v>
                </c:pt>
                <c:pt idx="151">
                  <c:v>15100</c:v>
                </c:pt>
                <c:pt idx="152">
                  <c:v>15200</c:v>
                </c:pt>
                <c:pt idx="153">
                  <c:v>15300</c:v>
                </c:pt>
                <c:pt idx="154">
                  <c:v>15400</c:v>
                </c:pt>
                <c:pt idx="155">
                  <c:v>15500</c:v>
                </c:pt>
                <c:pt idx="156">
                  <c:v>15600</c:v>
                </c:pt>
                <c:pt idx="157">
                  <c:v>15700</c:v>
                </c:pt>
                <c:pt idx="158">
                  <c:v>15800</c:v>
                </c:pt>
                <c:pt idx="159">
                  <c:v>15900</c:v>
                </c:pt>
                <c:pt idx="160">
                  <c:v>16000</c:v>
                </c:pt>
                <c:pt idx="161">
                  <c:v>16100</c:v>
                </c:pt>
                <c:pt idx="162">
                  <c:v>16200</c:v>
                </c:pt>
                <c:pt idx="163">
                  <c:v>16300</c:v>
                </c:pt>
                <c:pt idx="164">
                  <c:v>16400</c:v>
                </c:pt>
                <c:pt idx="165">
                  <c:v>16500</c:v>
                </c:pt>
                <c:pt idx="166">
                  <c:v>16600</c:v>
                </c:pt>
                <c:pt idx="167">
                  <c:v>16700</c:v>
                </c:pt>
                <c:pt idx="168">
                  <c:v>16800</c:v>
                </c:pt>
                <c:pt idx="169">
                  <c:v>16900</c:v>
                </c:pt>
                <c:pt idx="170">
                  <c:v>17000</c:v>
                </c:pt>
                <c:pt idx="171">
                  <c:v>17100</c:v>
                </c:pt>
                <c:pt idx="172">
                  <c:v>17200</c:v>
                </c:pt>
                <c:pt idx="173">
                  <c:v>17300</c:v>
                </c:pt>
                <c:pt idx="174">
                  <c:v>17400</c:v>
                </c:pt>
                <c:pt idx="175">
                  <c:v>17500</c:v>
                </c:pt>
                <c:pt idx="176">
                  <c:v>17600</c:v>
                </c:pt>
                <c:pt idx="177">
                  <c:v>17700</c:v>
                </c:pt>
                <c:pt idx="178">
                  <c:v>17800</c:v>
                </c:pt>
                <c:pt idx="179">
                  <c:v>17900</c:v>
                </c:pt>
                <c:pt idx="180">
                  <c:v>18000</c:v>
                </c:pt>
                <c:pt idx="181">
                  <c:v>18100</c:v>
                </c:pt>
                <c:pt idx="182">
                  <c:v>18200</c:v>
                </c:pt>
                <c:pt idx="183">
                  <c:v>18300</c:v>
                </c:pt>
                <c:pt idx="184">
                  <c:v>18400</c:v>
                </c:pt>
                <c:pt idx="185">
                  <c:v>18500</c:v>
                </c:pt>
                <c:pt idx="186">
                  <c:v>18600</c:v>
                </c:pt>
                <c:pt idx="187">
                  <c:v>18700</c:v>
                </c:pt>
                <c:pt idx="188">
                  <c:v>18800</c:v>
                </c:pt>
                <c:pt idx="189">
                  <c:v>18900</c:v>
                </c:pt>
                <c:pt idx="190">
                  <c:v>19000</c:v>
                </c:pt>
                <c:pt idx="191">
                  <c:v>19100</c:v>
                </c:pt>
                <c:pt idx="192">
                  <c:v>19200</c:v>
                </c:pt>
                <c:pt idx="193">
                  <c:v>19300</c:v>
                </c:pt>
                <c:pt idx="194">
                  <c:v>19400</c:v>
                </c:pt>
                <c:pt idx="195">
                  <c:v>19500</c:v>
                </c:pt>
                <c:pt idx="196">
                  <c:v>19600</c:v>
                </c:pt>
                <c:pt idx="197">
                  <c:v>19700</c:v>
                </c:pt>
                <c:pt idx="198">
                  <c:v>19800</c:v>
                </c:pt>
                <c:pt idx="199">
                  <c:v>19900</c:v>
                </c:pt>
                <c:pt idx="200">
                  <c:v>20000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7AAA-46E7-A70E-664E7E11226A}"/>
            </c:ext>
          </c:extLst>
        </c:ser>
        <c:ser>
          <c:idx val="1"/>
          <c:order val="1"/>
          <c:tx>
            <c:v>Evasion</c:v>
          </c:tx>
          <c:marker>
            <c:symbol val="none"/>
          </c:marker>
          <c:xVal>
            <c:numRef>
              <c:f>Hidden!$AC$3:$AC$203</c:f>
              <c:numCache>
                <c:formatCode>General</c:formatCode>
                <c:ptCount val="201"/>
                <c:pt idx="0">
                  <c:v>0</c:v>
                </c:pt>
                <c:pt idx="1">
                  <c:v>0.86696803181274262</c:v>
                </c:pt>
                <c:pt idx="2">
                  <c:v>1.7264197279436289</c:v>
                </c:pt>
                <c:pt idx="3">
                  <c:v>2.5784202526201949</c:v>
                </c:pt>
                <c:pt idx="4">
                  <c:v>3.423034205116926</c:v>
                </c:pt>
                <c:pt idx="5">
                  <c:v>4.2603256246532943</c:v>
                </c:pt>
                <c:pt idx="6">
                  <c:v>5.0903579952491622</c:v>
                </c:pt>
                <c:pt idx="7">
                  <c:v>5.9131942505382673</c:v>
                </c:pt>
                <c:pt idx="8">
                  <c:v>6.7288967785398501</c:v>
                </c:pt>
                <c:pt idx="9">
                  <c:v>7.5375274263889791</c:v>
                </c:pt>
                <c:pt idx="10">
                  <c:v>8.3391475050258119</c:v>
                </c:pt>
                <c:pt idx="11">
                  <c:v>9.1338177938442673</c:v>
                </c:pt>
                <c:pt idx="12">
                  <c:v>9.921598545300359</c:v>
                </c:pt>
                <c:pt idx="13">
                  <c:v>10.702549489480539</c:v>
                </c:pt>
                <c:pt idx="14">
                  <c:v>11.476729838630551</c:v>
                </c:pt>
                <c:pt idx="15">
                  <c:v>12.244198291644848</c:v>
                </c:pt>
                <c:pt idx="16">
                  <c:v>13.005013038517266</c:v>
                </c:pt>
                <c:pt idx="17">
                  <c:v>13.759231764752988</c:v>
                </c:pt>
                <c:pt idx="18">
                  <c:v>14.506911655742293</c:v>
                </c:pt>
                <c:pt idx="19">
                  <c:v>15.248109401096432</c:v>
                </c:pt>
                <c:pt idx="20">
                  <c:v>15.982881198945842</c:v>
                </c:pt>
                <c:pt idx="21">
                  <c:v>16.711282760201108</c:v>
                </c:pt>
                <c:pt idx="22">
                  <c:v>17.433369312777071</c:v>
                </c:pt>
                <c:pt idx="23">
                  <c:v>18.149195605780189</c:v>
                </c:pt>
                <c:pt idx="24">
                  <c:v>18.858815913659644</c:v>
                </c:pt>
                <c:pt idx="25">
                  <c:v>19.562284040322542</c:v>
                </c:pt>
                <c:pt idx="26">
                  <c:v>20.259653323213289</c:v>
                </c:pt>
                <c:pt idx="27">
                  <c:v>20.950976637357677</c:v>
                </c:pt>
                <c:pt idx="28">
                  <c:v>21.636306399371975</c:v>
                </c:pt>
                <c:pt idx="29">
                  <c:v>22.315694571437106</c:v>
                </c:pt>
                <c:pt idx="30">
                  <c:v>22.989192665238523</c:v>
                </c:pt>
                <c:pt idx="31">
                  <c:v>23.656851745871798</c:v>
                </c:pt>
                <c:pt idx="32">
                  <c:v>24.318722435714502</c:v>
                </c:pt>
                <c:pt idx="33">
                  <c:v>24.97485491826432</c:v>
                </c:pt>
                <c:pt idx="34">
                  <c:v>25.625298941944095</c:v>
                </c:pt>
                <c:pt idx="35">
                  <c:v>26.270103823873736</c:v>
                </c:pt>
                <c:pt idx="36">
                  <c:v>26.909318453609476</c:v>
                </c:pt>
                <c:pt idx="37">
                  <c:v>27.542991296850737</c:v>
                </c:pt>
                <c:pt idx="38">
                  <c:v>28.171170399114821</c:v>
                </c:pt>
                <c:pt idx="39">
                  <c:v>28.793903389379739</c:v>
                </c:pt>
                <c:pt idx="40">
                  <c:v>29.411237483695508</c:v>
                </c:pt>
                <c:pt idx="41">
                  <c:v>30.023219488764084</c:v>
                </c:pt>
                <c:pt idx="42">
                  <c:v>30.629895805488271</c:v>
                </c:pt>
                <c:pt idx="43">
                  <c:v>31.231312432489876</c:v>
                </c:pt>
                <c:pt idx="44">
                  <c:v>31.82751496959737</c:v>
                </c:pt>
                <c:pt idx="45">
                  <c:v>32.418548621303287</c:v>
                </c:pt>
                <c:pt idx="46">
                  <c:v>33.004458200191664</c:v>
                </c:pt>
                <c:pt idx="47">
                  <c:v>33.585288130335741</c:v>
                </c:pt>
                <c:pt idx="48">
                  <c:v>34.161082450666271</c:v>
                </c:pt>
                <c:pt idx="49">
                  <c:v>34.73188481831054</c:v>
                </c:pt>
                <c:pt idx="50">
                  <c:v>35.297738511902509</c:v>
                </c:pt>
                <c:pt idx="51">
                  <c:v>35.858686434864197</c:v>
                </c:pt>
                <c:pt idx="52">
                  <c:v>36.414771118658692</c:v>
                </c:pt>
                <c:pt idx="53">
                  <c:v>36.966034726014882</c:v>
                </c:pt>
                <c:pt idx="54">
                  <c:v>37.512519054124283</c:v>
                </c:pt>
                <c:pt idx="55">
                  <c:v>38.054265537810103</c:v>
                </c:pt>
                <c:pt idx="56">
                  <c:v>38.591315252668899</c:v>
                </c:pt>
                <c:pt idx="57">
                  <c:v>39.123708918184931</c:v>
                </c:pt>
                <c:pt idx="58">
                  <c:v>39.651486900817531</c:v>
                </c:pt>
                <c:pt idx="59">
                  <c:v>40.174689217061768</c:v>
                </c:pt>
                <c:pt idx="60">
                  <c:v>40.693355536482464</c:v>
                </c:pt>
                <c:pt idx="61">
                  <c:v>41.207525184722002</c:v>
                </c:pt>
                <c:pt idx="62">
                  <c:v>41.71723714648202</c:v>
                </c:pt>
                <c:pt idx="63">
                  <c:v>42.222530068479259</c:v>
                </c:pt>
                <c:pt idx="64">
                  <c:v>42.723442262375755</c:v>
                </c:pt>
                <c:pt idx="65">
                  <c:v>43.220011707683739</c:v>
                </c:pt>
                <c:pt idx="66">
                  <c:v>43.71227605464513</c:v>
                </c:pt>
                <c:pt idx="67">
                  <c:v>44.200272627086356</c:v>
                </c:pt>
                <c:pt idx="68">
                  <c:v>44.684038425248183</c:v>
                </c:pt>
                <c:pt idx="69">
                  <c:v>45.163610128591102</c:v>
                </c:pt>
                <c:pt idx="70">
                  <c:v>45.639024098576421</c:v>
                </c:pt>
                <c:pt idx="71">
                  <c:v>46.110316381423189</c:v>
                </c:pt>
                <c:pt idx="72">
                  <c:v>46.577522710841265</c:v>
                </c:pt>
                <c:pt idx="73">
                  <c:v>47.040678510740705</c:v>
                </c:pt>
                <c:pt idx="74">
                  <c:v>47.499818897917514</c:v>
                </c:pt>
                <c:pt idx="75">
                  <c:v>47.954978684716366</c:v>
                </c:pt>
                <c:pt idx="76">
                  <c:v>48.40619238167001</c:v>
                </c:pt>
                <c:pt idx="77">
                  <c:v>48.85349420011589</c:v>
                </c:pt>
                <c:pt idx="78">
                  <c:v>49.29691805479014</c:v>
                </c:pt>
                <c:pt idx="79">
                  <c:v>49.736497566398917</c:v>
                </c:pt>
                <c:pt idx="80">
                  <c:v>50.172266064167673</c:v>
                </c:pt>
                <c:pt idx="81">
                  <c:v>50.604256588368045</c:v>
                </c:pt>
                <c:pt idx="82">
                  <c:v>51.032501892823134</c:v>
                </c:pt>
                <c:pt idx="83">
                  <c:v>51.457034447390868</c:v>
                </c:pt>
                <c:pt idx="84">
                  <c:v>51.877886440425854</c:v>
                </c:pt>
                <c:pt idx="85">
                  <c:v>52.295089781219993</c:v>
                </c:pt>
                <c:pt idx="86">
                  <c:v>52.708676102421784</c:v>
                </c:pt>
                <c:pt idx="87">
                  <c:v>53.118676762434802</c:v>
                </c:pt>
                <c:pt idx="88">
                  <c:v>53.525122847795295</c:v>
                </c:pt>
                <c:pt idx="89">
                  <c:v>53.928045175529164</c:v>
                </c:pt>
                <c:pt idx="90">
                  <c:v>54.327474295488521</c:v>
                </c:pt>
                <c:pt idx="91">
                  <c:v>54.723440492668097</c:v>
                </c:pt>
                <c:pt idx="92">
                  <c:v>55.115973789501339</c:v>
                </c:pt>
                <c:pt idx="93">
                  <c:v>55.505103948136814</c:v>
                </c:pt>
                <c:pt idx="94">
                  <c:v>55.890860472694783</c:v>
                </c:pt>
                <c:pt idx="95">
                  <c:v>56.27327261150419</c:v>
                </c:pt>
                <c:pt idx="96">
                  <c:v>56.652369359320353</c:v>
                </c:pt>
                <c:pt idx="97">
                  <c:v>57.028179459523308</c:v>
                </c:pt>
                <c:pt idx="98">
                  <c:v>57.400731406297176</c:v>
                </c:pt>
                <c:pt idx="99">
                  <c:v>57.770053446790627</c:v>
                </c:pt>
                <c:pt idx="100">
                  <c:v>58.136173583258554</c:v>
                </c:pt>
                <c:pt idx="101">
                  <c:v>58.49911957518529</c:v>
                </c:pt>
                <c:pt idx="102">
                  <c:v>58.858918941389263</c:v>
                </c:pt>
                <c:pt idx="103">
                  <c:v>59.215598962109596</c:v>
                </c:pt>
                <c:pt idx="104">
                  <c:v>59.569186681074406</c:v>
                </c:pt>
                <c:pt idx="105">
                  <c:v>59.919708907551382</c:v>
                </c:pt>
                <c:pt idx="106">
                  <c:v>60.267192218380394</c:v>
                </c:pt>
                <c:pt idx="107">
                  <c:v>60.611662959988635</c:v>
                </c:pt>
                <c:pt idx="108">
                  <c:v>60.953147250388199</c:v>
                </c:pt>
                <c:pt idx="109">
                  <c:v>61.291670981156322</c:v>
                </c:pt>
                <c:pt idx="110">
                  <c:v>61.627259819398603</c:v>
                </c:pt>
                <c:pt idx="111">
                  <c:v>61.959939209694973</c:v>
                </c:pt>
                <c:pt idx="112">
                  <c:v>62.289734376029045</c:v>
                </c:pt>
                <c:pt idx="113">
                  <c:v>62.616670323700554</c:v>
                </c:pt>
                <c:pt idx="114">
                  <c:v>62.94077184122122</c:v>
                </c:pt>
                <c:pt idx="115">
                  <c:v>63.262063502194387</c:v>
                </c:pt>
                <c:pt idx="116">
                  <c:v>63.580569667178025</c:v>
                </c:pt>
                <c:pt idx="117">
                  <c:v>63.896314485531903</c:v>
                </c:pt>
                <c:pt idx="118">
                  <c:v>64.209321897248543</c:v>
                </c:pt>
                <c:pt idx="119">
                  <c:v>64.5196156347684</c:v>
                </c:pt>
                <c:pt idx="120">
                  <c:v>64.827219224779256</c:v>
                </c:pt>
                <c:pt idx="121">
                  <c:v>65.132155989999987</c:v>
                </c:pt>
                <c:pt idx="122">
                  <c:v>65.434449050949013</c:v>
                </c:pt>
                <c:pt idx="123">
                  <c:v>65.734121327697252</c:v>
                </c:pt>
                <c:pt idx="124">
                  <c:v>66.031195541605854</c:v>
                </c:pt>
                <c:pt idx="125">
                  <c:v>66.325694217049104</c:v>
                </c:pt>
                <c:pt idx="126">
                  <c:v>66.61763968312215</c:v>
                </c:pt>
                <c:pt idx="127">
                  <c:v>66.907054075334031</c:v>
                </c:pt>
                <c:pt idx="128">
                  <c:v>67.19395933728596</c:v>
                </c:pt>
                <c:pt idx="129">
                  <c:v>67.478377222335183</c:v>
                </c:pt>
                <c:pt idx="130">
                  <c:v>67.760329295244276</c:v>
                </c:pt>
                <c:pt idx="131">
                  <c:v>68.03983693381619</c:v>
                </c:pt>
                <c:pt idx="132">
                  <c:v>68.316921330515228</c:v>
                </c:pt>
                <c:pt idx="133">
                  <c:v>68.591603494073766</c:v>
                </c:pt>
                <c:pt idx="134">
                  <c:v>68.863904251085131</c:v>
                </c:pt>
                <c:pt idx="135">
                  <c:v>69.133844247582815</c:v>
                </c:pt>
                <c:pt idx="136">
                  <c:v>69.40144395060581</c:v>
                </c:pt>
                <c:pt idx="137">
                  <c:v>69.666723649750352</c:v>
                </c:pt>
                <c:pt idx="138">
                  <c:v>69.929703458708431</c:v>
                </c:pt>
                <c:pt idx="139">
                  <c:v>70.190403316792725</c:v>
                </c:pt>
                <c:pt idx="140">
                  <c:v>70.448842990448441</c:v>
                </c:pt>
                <c:pt idx="141">
                  <c:v>70.705042074752043</c:v>
                </c:pt>
                <c:pt idx="142">
                  <c:v>70.959019994896948</c:v>
                </c:pt>
                <c:pt idx="143">
                  <c:v>71.210796007666318</c:v>
                </c:pt>
                <c:pt idx="144">
                  <c:v>71.460389202893197</c:v>
                </c:pt>
                <c:pt idx="145">
                  <c:v>71.707818504907905</c:v>
                </c:pt>
                <c:pt idx="146">
                  <c:v>71.953102673972793</c:v>
                </c:pt>
                <c:pt idx="147">
                  <c:v>72.19626030770479</c:v>
                </c:pt>
                <c:pt idx="148">
                  <c:v>72.437309842485419</c:v>
                </c:pt>
                <c:pt idx="149">
                  <c:v>72.676269554858663</c:v>
                </c:pt>
                <c:pt idx="150">
                  <c:v>72.913157562916723</c:v>
                </c:pt>
                <c:pt idx="151">
                  <c:v>73.147991827673721</c:v>
                </c:pt>
                <c:pt idx="152">
                  <c:v>73.38079015442753</c:v>
                </c:pt>
                <c:pt idx="153">
                  <c:v>73.611570194109802</c:v>
                </c:pt>
                <c:pt idx="154">
                  <c:v>73.840349444624209</c:v>
                </c:pt>
                <c:pt idx="155">
                  <c:v>74.067145252173233</c:v>
                </c:pt>
                <c:pt idx="156">
                  <c:v>74.291974812573329</c:v>
                </c:pt>
                <c:pt idx="157">
                  <c:v>74.514855172558697</c:v>
                </c:pt>
                <c:pt idx="158">
                  <c:v>74.735803231073788</c:v>
                </c:pt>
                <c:pt idx="159">
                  <c:v>74.954835740554643</c:v>
                </c:pt>
                <c:pt idx="160">
                  <c:v>75.171969308199024</c:v>
                </c:pt>
                <c:pt idx="161">
                  <c:v>75.38722039722559</c:v>
                </c:pt>
                <c:pt idx="162">
                  <c:v>75.600605328122185</c:v>
                </c:pt>
                <c:pt idx="163">
                  <c:v>75.812140279883181</c:v>
                </c:pt>
                <c:pt idx="164">
                  <c:v>76.021841291236299</c:v>
                </c:pt>
                <c:pt idx="165">
                  <c:v>76.229724261858607</c:v>
                </c:pt>
                <c:pt idx="166">
                  <c:v>76.435804953582036</c:v>
                </c:pt>
                <c:pt idx="167">
                  <c:v>76.640098991588474</c:v>
                </c:pt>
                <c:pt idx="168">
                  <c:v>76.842621865594509</c:v>
                </c:pt>
                <c:pt idx="169">
                  <c:v>77.043388931025802</c:v>
                </c:pt>
                <c:pt idx="170">
                  <c:v>77.24241541018138</c:v>
                </c:pt>
                <c:pt idx="171">
                  <c:v>77.439716393387855</c:v>
                </c:pt>
                <c:pt idx="172">
                  <c:v>77.635306840143485</c:v>
                </c:pt>
                <c:pt idx="173">
                  <c:v>77.829201580252445</c:v>
                </c:pt>
                <c:pt idx="174">
                  <c:v>78.021415314949294</c:v>
                </c:pt>
                <c:pt idx="175">
                  <c:v>78.211962618013573</c:v>
                </c:pt>
                <c:pt idx="176">
                  <c:v>78.400857936874814</c:v>
                </c:pt>
                <c:pt idx="177">
                  <c:v>78.588115593707926</c:v>
                </c:pt>
                <c:pt idx="178">
                  <c:v>78.773749786519176</c:v>
                </c:pt>
                <c:pt idx="179">
                  <c:v>78.957774590222641</c:v>
                </c:pt>
                <c:pt idx="180">
                  <c:v>79.140203957707371</c:v>
                </c:pt>
                <c:pt idx="181">
                  <c:v>79.321051720895397</c:v>
                </c:pt>
                <c:pt idx="182">
                  <c:v>79.500331591790328</c:v>
                </c:pt>
                <c:pt idx="183">
                  <c:v>79.678057163517124</c:v>
                </c:pt>
                <c:pt idx="184">
                  <c:v>79.854241911352688</c:v>
                </c:pt>
                <c:pt idx="185">
                  <c:v>80.028899193747591</c:v>
                </c:pt>
                <c:pt idx="186">
                  <c:v>80.202042253338888</c:v>
                </c:pt>
                <c:pt idx="187">
                  <c:v>80.373684217954249</c:v>
                </c:pt>
                <c:pt idx="188">
                  <c:v>80.543838101607207</c:v>
                </c:pt>
                <c:pt idx="189">
                  <c:v>80.712516805483986</c:v>
                </c:pt>
                <c:pt idx="190">
                  <c:v>80.879733118921706</c:v>
                </c:pt>
                <c:pt idx="191">
                  <c:v>81.045499720377933</c:v>
                </c:pt>
                <c:pt idx="192">
                  <c:v>81.209829178392113</c:v>
                </c:pt>
                <c:pt idx="193">
                  <c:v>81.372733952538454</c:v>
                </c:pt>
                <c:pt idx="194">
                  <c:v>81.534226394370663</c:v>
                </c:pt>
                <c:pt idx="195">
                  <c:v>81.69431874835837</c:v>
                </c:pt>
                <c:pt idx="196">
                  <c:v>81.853023152815652</c:v>
                </c:pt>
                <c:pt idx="197">
                  <c:v>82.010351640821199</c:v>
                </c:pt>
                <c:pt idx="198">
                  <c:v>82.166316141130807</c:v>
                </c:pt>
                <c:pt idx="199">
                  <c:v>82.320928479081743</c:v>
                </c:pt>
                <c:pt idx="200">
                  <c:v>82.47420037748941</c:v>
                </c:pt>
              </c:numCache>
            </c:numRef>
          </c:xVal>
          <c:yVal>
            <c:numRef>
              <c:f>Hidden!$AB$3:$AB$203</c:f>
              <c:numCache>
                <c:formatCode>General</c:formatCode>
                <c:ptCount val="201"/>
                <c:pt idx="0">
                  <c:v>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  <c:pt idx="8">
                  <c:v>800</c:v>
                </c:pt>
                <c:pt idx="9">
                  <c:v>900</c:v>
                </c:pt>
                <c:pt idx="10">
                  <c:v>1000</c:v>
                </c:pt>
                <c:pt idx="11">
                  <c:v>1100</c:v>
                </c:pt>
                <c:pt idx="12">
                  <c:v>1200</c:v>
                </c:pt>
                <c:pt idx="13">
                  <c:v>1300</c:v>
                </c:pt>
                <c:pt idx="14">
                  <c:v>1400</c:v>
                </c:pt>
                <c:pt idx="15">
                  <c:v>1500</c:v>
                </c:pt>
                <c:pt idx="16">
                  <c:v>1600</c:v>
                </c:pt>
                <c:pt idx="17">
                  <c:v>1700</c:v>
                </c:pt>
                <c:pt idx="18">
                  <c:v>1800</c:v>
                </c:pt>
                <c:pt idx="19">
                  <c:v>1900</c:v>
                </c:pt>
                <c:pt idx="20">
                  <c:v>2000</c:v>
                </c:pt>
                <c:pt idx="21">
                  <c:v>2100</c:v>
                </c:pt>
                <c:pt idx="22">
                  <c:v>2200</c:v>
                </c:pt>
                <c:pt idx="23">
                  <c:v>2300</c:v>
                </c:pt>
                <c:pt idx="24">
                  <c:v>2400</c:v>
                </c:pt>
                <c:pt idx="25">
                  <c:v>2500</c:v>
                </c:pt>
                <c:pt idx="26">
                  <c:v>2600</c:v>
                </c:pt>
                <c:pt idx="27">
                  <c:v>2700</c:v>
                </c:pt>
                <c:pt idx="28">
                  <c:v>2800</c:v>
                </c:pt>
                <c:pt idx="29">
                  <c:v>2900</c:v>
                </c:pt>
                <c:pt idx="30">
                  <c:v>3000</c:v>
                </c:pt>
                <c:pt idx="31">
                  <c:v>3100</c:v>
                </c:pt>
                <c:pt idx="32">
                  <c:v>3200</c:v>
                </c:pt>
                <c:pt idx="33">
                  <c:v>3300</c:v>
                </c:pt>
                <c:pt idx="34">
                  <c:v>3400</c:v>
                </c:pt>
                <c:pt idx="35">
                  <c:v>3500</c:v>
                </c:pt>
                <c:pt idx="36">
                  <c:v>3600</c:v>
                </c:pt>
                <c:pt idx="37">
                  <c:v>3700</c:v>
                </c:pt>
                <c:pt idx="38">
                  <c:v>3800</c:v>
                </c:pt>
                <c:pt idx="39">
                  <c:v>3900</c:v>
                </c:pt>
                <c:pt idx="40">
                  <c:v>4000</c:v>
                </c:pt>
                <c:pt idx="41">
                  <c:v>4100</c:v>
                </c:pt>
                <c:pt idx="42">
                  <c:v>4200</c:v>
                </c:pt>
                <c:pt idx="43">
                  <c:v>4300</c:v>
                </c:pt>
                <c:pt idx="44">
                  <c:v>4400</c:v>
                </c:pt>
                <c:pt idx="45">
                  <c:v>4500</c:v>
                </c:pt>
                <c:pt idx="46">
                  <c:v>4600</c:v>
                </c:pt>
                <c:pt idx="47">
                  <c:v>4700</c:v>
                </c:pt>
                <c:pt idx="48">
                  <c:v>4800</c:v>
                </c:pt>
                <c:pt idx="49">
                  <c:v>4900</c:v>
                </c:pt>
                <c:pt idx="50">
                  <c:v>5000</c:v>
                </c:pt>
                <c:pt idx="51">
                  <c:v>5100</c:v>
                </c:pt>
                <c:pt idx="52">
                  <c:v>5200</c:v>
                </c:pt>
                <c:pt idx="53">
                  <c:v>5300</c:v>
                </c:pt>
                <c:pt idx="54">
                  <c:v>5400</c:v>
                </c:pt>
                <c:pt idx="55">
                  <c:v>5500</c:v>
                </c:pt>
                <c:pt idx="56">
                  <c:v>5600</c:v>
                </c:pt>
                <c:pt idx="57">
                  <c:v>5700</c:v>
                </c:pt>
                <c:pt idx="58">
                  <c:v>5800</c:v>
                </c:pt>
                <c:pt idx="59">
                  <c:v>5900</c:v>
                </c:pt>
                <c:pt idx="60">
                  <c:v>6000</c:v>
                </c:pt>
                <c:pt idx="61">
                  <c:v>6100</c:v>
                </c:pt>
                <c:pt idx="62">
                  <c:v>6200</c:v>
                </c:pt>
                <c:pt idx="63">
                  <c:v>6300</c:v>
                </c:pt>
                <c:pt idx="64">
                  <c:v>6400</c:v>
                </c:pt>
                <c:pt idx="65">
                  <c:v>6500</c:v>
                </c:pt>
                <c:pt idx="66">
                  <c:v>6600</c:v>
                </c:pt>
                <c:pt idx="67">
                  <c:v>6700</c:v>
                </c:pt>
                <c:pt idx="68">
                  <c:v>6800</c:v>
                </c:pt>
                <c:pt idx="69">
                  <c:v>6900</c:v>
                </c:pt>
                <c:pt idx="70">
                  <c:v>7000</c:v>
                </c:pt>
                <c:pt idx="71">
                  <c:v>7100</c:v>
                </c:pt>
                <c:pt idx="72">
                  <c:v>7200</c:v>
                </c:pt>
                <c:pt idx="73">
                  <c:v>7300</c:v>
                </c:pt>
                <c:pt idx="74">
                  <c:v>7400</c:v>
                </c:pt>
                <c:pt idx="75">
                  <c:v>7500</c:v>
                </c:pt>
                <c:pt idx="76">
                  <c:v>7600</c:v>
                </c:pt>
                <c:pt idx="77">
                  <c:v>7700</c:v>
                </c:pt>
                <c:pt idx="78">
                  <c:v>7800</c:v>
                </c:pt>
                <c:pt idx="79">
                  <c:v>7900</c:v>
                </c:pt>
                <c:pt idx="80">
                  <c:v>8000</c:v>
                </c:pt>
                <c:pt idx="81">
                  <c:v>8100</c:v>
                </c:pt>
                <c:pt idx="82">
                  <c:v>8200</c:v>
                </c:pt>
                <c:pt idx="83">
                  <c:v>8300</c:v>
                </c:pt>
                <c:pt idx="84">
                  <c:v>8400</c:v>
                </c:pt>
                <c:pt idx="85">
                  <c:v>8500</c:v>
                </c:pt>
                <c:pt idx="86">
                  <c:v>8600</c:v>
                </c:pt>
                <c:pt idx="87">
                  <c:v>8700</c:v>
                </c:pt>
                <c:pt idx="88">
                  <c:v>8800</c:v>
                </c:pt>
                <c:pt idx="89">
                  <c:v>8900</c:v>
                </c:pt>
                <c:pt idx="90">
                  <c:v>9000</c:v>
                </c:pt>
                <c:pt idx="91">
                  <c:v>9100</c:v>
                </c:pt>
                <c:pt idx="92">
                  <c:v>9200</c:v>
                </c:pt>
                <c:pt idx="93">
                  <c:v>9300</c:v>
                </c:pt>
                <c:pt idx="94">
                  <c:v>9400</c:v>
                </c:pt>
                <c:pt idx="95">
                  <c:v>9500</c:v>
                </c:pt>
                <c:pt idx="96">
                  <c:v>9600</c:v>
                </c:pt>
                <c:pt idx="97">
                  <c:v>9700</c:v>
                </c:pt>
                <c:pt idx="98">
                  <c:v>9800</c:v>
                </c:pt>
                <c:pt idx="99">
                  <c:v>9900</c:v>
                </c:pt>
                <c:pt idx="100">
                  <c:v>10000</c:v>
                </c:pt>
                <c:pt idx="101">
                  <c:v>10100</c:v>
                </c:pt>
                <c:pt idx="102">
                  <c:v>10200</c:v>
                </c:pt>
                <c:pt idx="103">
                  <c:v>10300</c:v>
                </c:pt>
                <c:pt idx="104">
                  <c:v>10400</c:v>
                </c:pt>
                <c:pt idx="105">
                  <c:v>10500</c:v>
                </c:pt>
                <c:pt idx="106">
                  <c:v>10600</c:v>
                </c:pt>
                <c:pt idx="107">
                  <c:v>10700</c:v>
                </c:pt>
                <c:pt idx="108">
                  <c:v>10800</c:v>
                </c:pt>
                <c:pt idx="109">
                  <c:v>10900</c:v>
                </c:pt>
                <c:pt idx="110">
                  <c:v>11000</c:v>
                </c:pt>
                <c:pt idx="111">
                  <c:v>11100</c:v>
                </c:pt>
                <c:pt idx="112">
                  <c:v>11200</c:v>
                </c:pt>
                <c:pt idx="113">
                  <c:v>11300</c:v>
                </c:pt>
                <c:pt idx="114">
                  <c:v>11400</c:v>
                </c:pt>
                <c:pt idx="115">
                  <c:v>11500</c:v>
                </c:pt>
                <c:pt idx="116">
                  <c:v>11600</c:v>
                </c:pt>
                <c:pt idx="117">
                  <c:v>11700</c:v>
                </c:pt>
                <c:pt idx="118">
                  <c:v>11800</c:v>
                </c:pt>
                <c:pt idx="119">
                  <c:v>11900</c:v>
                </c:pt>
                <c:pt idx="120">
                  <c:v>12000</c:v>
                </c:pt>
                <c:pt idx="121">
                  <c:v>12100</c:v>
                </c:pt>
                <c:pt idx="122">
                  <c:v>12200</c:v>
                </c:pt>
                <c:pt idx="123">
                  <c:v>12300</c:v>
                </c:pt>
                <c:pt idx="124">
                  <c:v>12400</c:v>
                </c:pt>
                <c:pt idx="125">
                  <c:v>12500</c:v>
                </c:pt>
                <c:pt idx="126">
                  <c:v>12600</c:v>
                </c:pt>
                <c:pt idx="127">
                  <c:v>12700</c:v>
                </c:pt>
                <c:pt idx="128">
                  <c:v>12800</c:v>
                </c:pt>
                <c:pt idx="129">
                  <c:v>12900</c:v>
                </c:pt>
                <c:pt idx="130">
                  <c:v>13000</c:v>
                </c:pt>
                <c:pt idx="131">
                  <c:v>13100</c:v>
                </c:pt>
                <c:pt idx="132">
                  <c:v>13200</c:v>
                </c:pt>
                <c:pt idx="133">
                  <c:v>13300</c:v>
                </c:pt>
                <c:pt idx="134">
                  <c:v>13400</c:v>
                </c:pt>
                <c:pt idx="135">
                  <c:v>13500</c:v>
                </c:pt>
                <c:pt idx="136">
                  <c:v>13600</c:v>
                </c:pt>
                <c:pt idx="137">
                  <c:v>13700</c:v>
                </c:pt>
                <c:pt idx="138">
                  <c:v>13800</c:v>
                </c:pt>
                <c:pt idx="139">
                  <c:v>13900</c:v>
                </c:pt>
                <c:pt idx="140">
                  <c:v>14000</c:v>
                </c:pt>
                <c:pt idx="141">
                  <c:v>14100</c:v>
                </c:pt>
                <c:pt idx="142">
                  <c:v>14200</c:v>
                </c:pt>
                <c:pt idx="143">
                  <c:v>14300</c:v>
                </c:pt>
                <c:pt idx="144">
                  <c:v>14400</c:v>
                </c:pt>
                <c:pt idx="145">
                  <c:v>14500</c:v>
                </c:pt>
                <c:pt idx="146">
                  <c:v>14600</c:v>
                </c:pt>
                <c:pt idx="147">
                  <c:v>14700</c:v>
                </c:pt>
                <c:pt idx="148">
                  <c:v>14800</c:v>
                </c:pt>
                <c:pt idx="149">
                  <c:v>14900</c:v>
                </c:pt>
                <c:pt idx="150">
                  <c:v>15000</c:v>
                </c:pt>
                <c:pt idx="151">
                  <c:v>15100</c:v>
                </c:pt>
                <c:pt idx="152">
                  <c:v>15200</c:v>
                </c:pt>
                <c:pt idx="153">
                  <c:v>15300</c:v>
                </c:pt>
                <c:pt idx="154">
                  <c:v>15400</c:v>
                </c:pt>
                <c:pt idx="155">
                  <c:v>15500</c:v>
                </c:pt>
                <c:pt idx="156">
                  <c:v>15600</c:v>
                </c:pt>
                <c:pt idx="157">
                  <c:v>15700</c:v>
                </c:pt>
                <c:pt idx="158">
                  <c:v>15800</c:v>
                </c:pt>
                <c:pt idx="159">
                  <c:v>15900</c:v>
                </c:pt>
                <c:pt idx="160">
                  <c:v>16000</c:v>
                </c:pt>
                <c:pt idx="161">
                  <c:v>16100</c:v>
                </c:pt>
                <c:pt idx="162">
                  <c:v>16200</c:v>
                </c:pt>
                <c:pt idx="163">
                  <c:v>16300</c:v>
                </c:pt>
                <c:pt idx="164">
                  <c:v>16400</c:v>
                </c:pt>
                <c:pt idx="165">
                  <c:v>16500</c:v>
                </c:pt>
                <c:pt idx="166">
                  <c:v>16600</c:v>
                </c:pt>
                <c:pt idx="167">
                  <c:v>16700</c:v>
                </c:pt>
                <c:pt idx="168">
                  <c:v>16800</c:v>
                </c:pt>
                <c:pt idx="169">
                  <c:v>16900</c:v>
                </c:pt>
                <c:pt idx="170">
                  <c:v>17000</c:v>
                </c:pt>
                <c:pt idx="171">
                  <c:v>17100</c:v>
                </c:pt>
                <c:pt idx="172">
                  <c:v>17200</c:v>
                </c:pt>
                <c:pt idx="173">
                  <c:v>17300</c:v>
                </c:pt>
                <c:pt idx="174">
                  <c:v>17400</c:v>
                </c:pt>
                <c:pt idx="175">
                  <c:v>17500</c:v>
                </c:pt>
                <c:pt idx="176">
                  <c:v>17600</c:v>
                </c:pt>
                <c:pt idx="177">
                  <c:v>17700</c:v>
                </c:pt>
                <c:pt idx="178">
                  <c:v>17800</c:v>
                </c:pt>
                <c:pt idx="179">
                  <c:v>17900</c:v>
                </c:pt>
                <c:pt idx="180">
                  <c:v>18000</c:v>
                </c:pt>
                <c:pt idx="181">
                  <c:v>18100</c:v>
                </c:pt>
                <c:pt idx="182">
                  <c:v>18200</c:v>
                </c:pt>
                <c:pt idx="183">
                  <c:v>18300</c:v>
                </c:pt>
                <c:pt idx="184">
                  <c:v>18400</c:v>
                </c:pt>
                <c:pt idx="185">
                  <c:v>18500</c:v>
                </c:pt>
                <c:pt idx="186">
                  <c:v>18600</c:v>
                </c:pt>
                <c:pt idx="187">
                  <c:v>18700</c:v>
                </c:pt>
                <c:pt idx="188">
                  <c:v>18800</c:v>
                </c:pt>
                <c:pt idx="189">
                  <c:v>18900</c:v>
                </c:pt>
                <c:pt idx="190">
                  <c:v>19000</c:v>
                </c:pt>
                <c:pt idx="191">
                  <c:v>19100</c:v>
                </c:pt>
                <c:pt idx="192">
                  <c:v>19200</c:v>
                </c:pt>
                <c:pt idx="193">
                  <c:v>19300</c:v>
                </c:pt>
                <c:pt idx="194">
                  <c:v>19400</c:v>
                </c:pt>
                <c:pt idx="195">
                  <c:v>19500</c:v>
                </c:pt>
                <c:pt idx="196">
                  <c:v>19600</c:v>
                </c:pt>
                <c:pt idx="197">
                  <c:v>19700</c:v>
                </c:pt>
                <c:pt idx="198">
                  <c:v>19800</c:v>
                </c:pt>
                <c:pt idx="199">
                  <c:v>19900</c:v>
                </c:pt>
                <c:pt idx="200">
                  <c:v>20000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7AAA-46E7-A70E-664E7E11226A}"/>
            </c:ext>
          </c:extLst>
        </c:ser>
        <c:ser>
          <c:idx val="2"/>
          <c:order val="2"/>
          <c:tx>
            <c:v>Armour</c:v>
          </c:tx>
          <c:marker>
            <c:symbol val="none"/>
          </c:marker>
          <c:xVal>
            <c:numRef>
              <c:f>Hidden!$AF$3:$AF$203</c:f>
              <c:numCache>
                <c:formatCode>General</c:formatCode>
                <c:ptCount val="201"/>
                <c:pt idx="0">
                  <c:v>0</c:v>
                </c:pt>
                <c:pt idx="1">
                  <c:v>0.52901143697950959</c:v>
                </c:pt>
                <c:pt idx="2">
                  <c:v>1.0552243429544528</c:v>
                </c:pt>
                <c:pt idx="3">
                  <c:v>1.5786535224739384</c:v>
                </c:pt>
                <c:pt idx="4">
                  <c:v>2.0993137017692787</c:v>
                </c:pt>
                <c:pt idx="5">
                  <c:v>2.6172195291683464</c:v>
                </c:pt>
                <c:pt idx="6">
                  <c:v>3.1323855755076901</c:v>
                </c:pt>
                <c:pt idx="7">
                  <c:v>3.6448263345424614</c:v>
                </c:pt>
                <c:pt idx="8">
                  <c:v>4.1545562233542004</c:v>
                </c:pt>
                <c:pt idx="9">
                  <c:v>4.6615895827564096</c:v>
                </c:pt>
                <c:pt idx="10">
                  <c:v>5.1659406776980887</c:v>
                </c:pt>
                <c:pt idx="11">
                  <c:v>5.6676236976649914</c:v>
                </c:pt>
                <c:pt idx="12">
                  <c:v>6.1666527570788947</c:v>
                </c:pt>
                <c:pt idx="13">
                  <c:v>6.6630418956946329</c:v>
                </c:pt>
                <c:pt idx="14">
                  <c:v>7.1568050789951769</c:v>
                </c:pt>
                <c:pt idx="15">
                  <c:v>7.6479561985844713</c:v>
                </c:pt>
                <c:pt idx="16">
                  <c:v>8.1365090725782796</c:v>
                </c:pt>
                <c:pt idx="17">
                  <c:v>8.6224774459929705</c:v>
                </c:pt>
                <c:pt idx="18">
                  <c:v>9.1058749911321897</c:v>
                </c:pt>
                <c:pt idx="19">
                  <c:v>9.5867153079715486</c:v>
                </c:pt>
                <c:pt idx="20">
                  <c:v>10.065011924541222</c:v>
                </c:pt>
                <c:pt idx="21">
                  <c:v>10.540778297306552</c:v>
                </c:pt>
                <c:pt idx="22">
                  <c:v>11.014027811546656</c:v>
                </c:pt>
                <c:pt idx="23">
                  <c:v>11.484773781730972</c:v>
                </c:pt>
                <c:pt idx="24">
                  <c:v>11.953029451893894</c:v>
                </c:pt>
                <c:pt idx="25">
                  <c:v>12.418807996007352</c:v>
                </c:pt>
                <c:pt idx="26">
                  <c:v>12.882122518351458</c:v>
                </c:pt>
                <c:pt idx="27">
                  <c:v>13.342986053883166</c:v>
                </c:pt>
                <c:pt idx="28">
                  <c:v>13.801411568603051</c:v>
                </c:pt>
                <c:pt idx="29">
                  <c:v>14.257411959920031</c:v>
                </c:pt>
                <c:pt idx="30">
                  <c:v>14.711000057014278</c:v>
                </c:pt>
                <c:pt idx="31">
                  <c:v>15.162188621198114</c:v>
                </c:pt>
                <c:pt idx="32">
                  <c:v>15.610990346275077</c:v>
                </c:pt>
                <c:pt idx="33">
                  <c:v>16.057417858897015</c:v>
                </c:pt>
                <c:pt idx="34">
                  <c:v>16.501483718919363</c:v>
                </c:pt>
                <c:pt idx="35">
                  <c:v>16.943200419754479</c:v>
                </c:pt>
                <c:pt idx="36">
                  <c:v>17.382580388723124</c:v>
                </c:pt>
                <c:pt idx="37">
                  <c:v>17.819635987404126</c:v>
                </c:pt>
                <c:pt idx="38">
                  <c:v>18.254379511982144</c:v>
                </c:pt>
                <c:pt idx="39">
                  <c:v>18.686823193593625</c:v>
                </c:pt>
                <c:pt idx="40">
                  <c:v>19.116979198670879</c:v>
                </c:pt>
                <c:pt idx="41">
                  <c:v>19.544859629284417</c:v>
                </c:pt>
                <c:pt idx="42">
                  <c:v>19.970476523483416</c:v>
                </c:pt>
                <c:pt idx="43">
                  <c:v>20.393841855634388</c:v>
                </c:pt>
                <c:pt idx="44">
                  <c:v>20.814967536758079</c:v>
                </c:pt>
                <c:pt idx="45">
                  <c:v>21.23386541486456</c:v>
                </c:pt>
                <c:pt idx="46">
                  <c:v>21.650547275286591</c:v>
                </c:pt>
                <c:pt idx="47">
                  <c:v>22.065024841011184</c:v>
                </c:pt>
                <c:pt idx="48">
                  <c:v>22.477309773009367</c:v>
                </c:pt>
                <c:pt idx="49">
                  <c:v>22.887413670564339</c:v>
                </c:pt>
                <c:pt idx="50">
                  <c:v>23.295348071597743</c:v>
                </c:pt>
                <c:pt idx="51">
                  <c:v>23.701124452994314</c:v>
                </c:pt>
                <c:pt idx="52">
                  <c:v>24.10475423092473</c:v>
                </c:pt>
                <c:pt idx="53">
                  <c:v>24.506248761166848</c:v>
                </c:pt>
                <c:pt idx="54">
                  <c:v>24.905619339425133</c:v>
                </c:pt>
                <c:pt idx="55">
                  <c:v>25.302877201648499</c:v>
                </c:pt>
                <c:pt idx="56">
                  <c:v>25.698033524346396</c:v>
                </c:pt>
                <c:pt idx="57">
                  <c:v>26.091099424903284</c:v>
                </c:pt>
                <c:pt idx="58">
                  <c:v>26.482085961891354</c:v>
                </c:pt>
                <c:pt idx="59">
                  <c:v>26.871004135381714</c:v>
                </c:pt>
                <c:pt idx="60">
                  <c:v>27.257864887253813</c:v>
                </c:pt>
                <c:pt idx="61">
                  <c:v>27.642679101503333</c:v>
                </c:pt>
                <c:pt idx="62">
                  <c:v>28.025457604548333</c:v>
                </c:pt>
                <c:pt idx="63">
                  <c:v>28.406211165533936</c:v>
                </c:pt>
                <c:pt idx="64">
                  <c:v>28.784950496635219</c:v>
                </c:pt>
                <c:pt idx="65">
                  <c:v>29.161686253358631</c:v>
                </c:pt>
                <c:pt idx="66">
                  <c:v>29.536429034841795</c:v>
                </c:pt>
                <c:pt idx="67">
                  <c:v>29.909189384151645</c:v>
                </c:pt>
                <c:pt idx="68">
                  <c:v>30.279977788581125</c:v>
                </c:pt>
                <c:pt idx="69">
                  <c:v>30.648804679944185</c:v>
                </c:pt>
                <c:pt idx="70">
                  <c:v>31.015680434869275</c:v>
                </c:pt>
                <c:pt idx="71">
                  <c:v>31.380615375091303</c:v>
                </c:pt>
                <c:pt idx="72">
                  <c:v>31.743619767742025</c:v>
                </c:pt>
                <c:pt idx="73">
                  <c:v>32.104703825638893</c:v>
                </c:pt>
                <c:pt idx="74">
                  <c:v>32.463877707572372</c:v>
                </c:pt>
                <c:pt idx="75">
                  <c:v>32.821151518591776</c:v>
                </c:pt>
                <c:pt idx="76">
                  <c:v>33.176535310289559</c:v>
                </c:pt>
                <c:pt idx="77">
                  <c:v>33.530039081084084</c:v>
                </c:pt>
                <c:pt idx="78">
                  <c:v>33.881672776500963</c:v>
                </c:pt>
                <c:pt idx="79">
                  <c:v>34.231446289452805</c:v>
                </c:pt>
                <c:pt idx="80">
                  <c:v>34.579369460517604</c:v>
                </c:pt>
                <c:pt idx="81">
                  <c:v>34.925452078215578</c:v>
                </c:pt>
                <c:pt idx="82">
                  <c:v>35.269703879284521</c:v>
                </c:pt>
                <c:pt idx="83">
                  <c:v>35.612134548953811</c:v>
                </c:pt>
                <c:pt idx="84">
                  <c:v>35.952753721216816</c:v>
                </c:pt>
                <c:pt idx="85">
                  <c:v>36.291570979102005</c:v>
                </c:pt>
                <c:pt idx="86">
                  <c:v>36.628595854942525</c:v>
                </c:pt>
                <c:pt idx="87">
                  <c:v>36.963837830644387</c:v>
                </c:pt>
                <c:pt idx="88">
                  <c:v>37.297306337953231</c:v>
                </c:pt>
                <c:pt idx="89">
                  <c:v>37.629010758719673</c:v>
                </c:pt>
                <c:pt idx="90">
                  <c:v>37.958960425163305</c:v>
                </c:pt>
                <c:pt idx="91">
                  <c:v>38.287164620135172</c:v>
                </c:pt>
                <c:pt idx="92">
                  <c:v>38.613632577378986</c:v>
                </c:pt>
                <c:pt idx="93">
                  <c:v>38.938373481790919</c:v>
                </c:pt>
                <c:pt idx="94">
                  <c:v>39.261396469677955</c:v>
                </c:pt>
                <c:pt idx="95">
                  <c:v>39.582710629014997</c:v>
                </c:pt>
                <c:pt idx="96">
                  <c:v>39.902324999700511</c:v>
                </c:pt>
                <c:pt idx="97">
                  <c:v>40.220248573810871</c:v>
                </c:pt>
                <c:pt idx="98">
                  <c:v>40.536490295853319</c:v>
                </c:pt>
                <c:pt idx="99">
                  <c:v>40.851059063017679</c:v>
                </c:pt>
                <c:pt idx="100">
                  <c:v>41.163963725426569</c:v>
                </c:pt>
                <c:pt idx="101">
                  <c:v>41.475213086384464</c:v>
                </c:pt>
                <c:pt idx="102">
                  <c:v>41.784815902625382</c:v>
                </c:pt>
                <c:pt idx="103">
                  <c:v>42.092780884559154</c:v>
                </c:pt>
                <c:pt idx="104">
                  <c:v>42.399116696516636</c:v>
                </c:pt>
                <c:pt idx="105">
                  <c:v>42.703831956993277</c:v>
                </c:pt>
                <c:pt idx="106">
                  <c:v>43.006935238891778</c:v>
                </c:pt>
                <c:pt idx="107">
                  <c:v>43.308435069763171</c:v>
                </c:pt>
                <c:pt idx="108">
                  <c:v>43.608339932046789</c:v>
                </c:pt>
                <c:pt idx="109">
                  <c:v>43.90665826330887</c:v>
                </c:pt>
                <c:pt idx="110">
                  <c:v>44.20339845647996</c:v>
                </c:pt>
                <c:pt idx="111">
                  <c:v>44.498568860091062</c:v>
                </c:pt>
                <c:pt idx="112">
                  <c:v>44.792177778508481</c:v>
                </c:pt>
                <c:pt idx="113">
                  <c:v>45.08423347216749</c:v>
                </c:pt>
                <c:pt idx="114">
                  <c:v>45.374744157804678</c:v>
                </c:pt>
                <c:pt idx="115">
                  <c:v>45.663718008689216</c:v>
                </c:pt>
                <c:pt idx="116">
                  <c:v>45.951163154852679</c:v>
                </c:pt>
                <c:pt idx="117">
                  <c:v>46.237087683317903</c:v>
                </c:pt>
                <c:pt idx="118">
                  <c:v>46.521499638326411</c:v>
                </c:pt>
                <c:pt idx="119">
                  <c:v>46.804407021564799</c:v>
                </c:pt>
                <c:pt idx="120">
                  <c:v>47.085817792389783</c:v>
                </c:pt>
                <c:pt idx="121">
                  <c:v>47.365739868052216</c:v>
                </c:pt>
                <c:pt idx="122">
                  <c:v>47.644181123919758</c:v>
                </c:pt>
                <c:pt idx="123">
                  <c:v>47.921149393698506</c:v>
                </c:pt>
                <c:pt idx="124">
                  <c:v>48.196652469653309</c:v>
                </c:pt>
                <c:pt idx="125">
                  <c:v>48.470698102827079</c:v>
                </c:pt>
                <c:pt idx="126">
                  <c:v>48.743294003258818</c:v>
                </c:pt>
                <c:pt idx="127">
                  <c:v>49.014447840200539</c:v>
                </c:pt>
                <c:pt idx="128">
                  <c:v>49.284167242333034</c:v>
                </c:pt>
                <c:pt idx="129">
                  <c:v>49.552459797980489</c:v>
                </c:pt>
                <c:pt idx="130">
                  <c:v>49.819333055324002</c:v>
                </c:pt>
                <c:pt idx="131">
                  <c:v>50.08479452261394</c:v>
                </c:pt>
                <c:pt idx="132">
                  <c:v>50.348851668381123</c:v>
                </c:pt>
                <c:pt idx="133">
                  <c:v>50.611511921647057</c:v>
                </c:pt>
                <c:pt idx="134">
                  <c:v>50.8727826721328</c:v>
                </c:pt>
                <c:pt idx="135">
                  <c:v>51.132671270466986</c:v>
                </c:pt>
                <c:pt idx="136">
                  <c:v>51.391185028392592</c:v>
                </c:pt>
                <c:pt idx="137">
                  <c:v>51.648331218972601</c:v>
                </c:pt>
                <c:pt idx="138">
                  <c:v>51.904117076794677</c:v>
                </c:pt>
                <c:pt idx="139">
                  <c:v>52.158549798174711</c:v>
                </c:pt>
                <c:pt idx="140">
                  <c:v>52.411636541359222</c:v>
                </c:pt>
                <c:pt idx="141">
                  <c:v>52.6633844267268</c:v>
                </c:pt>
                <c:pt idx="142">
                  <c:v>52.91380053698844</c:v>
                </c:pt>
                <c:pt idx="143">
                  <c:v>53.162891917386759</c:v>
                </c:pt>
                <c:pt idx="144">
                  <c:v>53.410665575894235</c:v>
                </c:pt>
                <c:pt idx="145">
                  <c:v>53.657128483410375</c:v>
                </c:pt>
                <c:pt idx="146">
                  <c:v>53.90228757395785</c:v>
                </c:pt>
                <c:pt idx="147">
                  <c:v>54.146149744877548</c:v>
                </c:pt>
                <c:pt idx="148">
                  <c:v>54.388721857022595</c:v>
                </c:pt>
                <c:pt idx="149">
                  <c:v>54.630010734951483</c:v>
                </c:pt>
                <c:pt idx="150">
                  <c:v>54.870023167119953</c:v>
                </c:pt>
                <c:pt idx="151">
                  <c:v>55.108765906072101</c:v>
                </c:pt>
                <c:pt idx="152">
                  <c:v>55.346245668630225</c:v>
                </c:pt>
                <c:pt idx="153">
                  <c:v>55.582469136083887</c:v>
                </c:pt>
                <c:pt idx="154">
                  <c:v>55.817442954377917</c:v>
                </c:pt>
                <c:pt idx="155">
                  <c:v>56.05117373429924</c:v>
                </c:pt>
                <c:pt idx="156">
                  <c:v>56.283668051663049</c:v>
                </c:pt>
                <c:pt idx="157">
                  <c:v>56.514932447497678</c:v>
                </c:pt>
                <c:pt idx="158">
                  <c:v>56.744973428228683</c:v>
                </c:pt>
                <c:pt idx="159">
                  <c:v>56.973797465861885</c:v>
                </c:pt>
                <c:pt idx="160">
                  <c:v>57.201410998165436</c:v>
                </c:pt>
                <c:pt idx="161">
                  <c:v>57.427820428850993</c:v>
                </c:pt>
                <c:pt idx="162">
                  <c:v>57.653032127753825</c:v>
                </c:pt>
                <c:pt idx="163">
                  <c:v>57.877052431012046</c:v>
                </c:pt>
                <c:pt idx="164">
                  <c:v>58.099887641244862</c:v>
                </c:pt>
                <c:pt idx="165">
                  <c:v>58.321544027729942</c:v>
                </c:pt>
                <c:pt idx="166">
                  <c:v>58.542027826579712</c:v>
                </c:pt>
                <c:pt idx="167">
                  <c:v>58.761345240916896</c:v>
                </c:pt>
                <c:pt idx="168">
                  <c:v>58.979502441048936</c:v>
                </c:pt>
                <c:pt idx="169">
                  <c:v>59.19650556464169</c:v>
                </c:pt>
                <c:pt idx="170">
                  <c:v>59.412360716892024</c:v>
                </c:pt>
                <c:pt idx="171">
                  <c:v>59.627073970699662</c:v>
                </c:pt>
                <c:pt idx="172">
                  <c:v>59.840651366837925</c:v>
                </c:pt>
                <c:pt idx="173">
                  <c:v>60.053098914123822</c:v>
                </c:pt>
                <c:pt idx="174">
                  <c:v>60.264422589586999</c:v>
                </c:pt>
                <c:pt idx="175">
                  <c:v>60.474628338637928</c:v>
                </c:pt>
                <c:pt idx="176">
                  <c:v>60.683722075235202</c:v>
                </c:pt>
                <c:pt idx="177">
                  <c:v>60.89170968205184</c:v>
                </c:pt>
                <c:pt idx="178">
                  <c:v>61.098597010640944</c:v>
                </c:pt>
                <c:pt idx="179">
                  <c:v>61.304389881600144</c:v>
                </c:pt>
                <c:pt idx="180">
                  <c:v>61.509094084735473</c:v>
                </c:pt>
                <c:pt idx="181">
                  <c:v>61.71271537922425</c:v>
                </c:pt>
                <c:pt idx="182">
                  <c:v>61.915259493777043</c:v>
                </c:pt>
                <c:pt idx="183">
                  <c:v>62.116732126798922</c:v>
                </c:pt>
                <c:pt idx="184">
                  <c:v>62.317138946549747</c:v>
                </c:pt>
                <c:pt idx="185">
                  <c:v>62.516485591303585</c:v>
                </c:pt>
                <c:pt idx="186">
                  <c:v>62.714777669507463</c:v>
                </c:pt>
                <c:pt idx="187">
                  <c:v>62.912020759939004</c:v>
                </c:pt>
                <c:pt idx="188">
                  <c:v>63.108220411863499</c:v>
                </c:pt>
                <c:pt idx="189">
                  <c:v>63.303382145190021</c:v>
                </c:pt>
                <c:pt idx="190">
                  <c:v>63.497511450626632</c:v>
                </c:pt>
                <c:pt idx="191">
                  <c:v>63.690613789834948</c:v>
                </c:pt>
                <c:pt idx="192">
                  <c:v>63.882694595583779</c:v>
                </c:pt>
                <c:pt idx="193">
                  <c:v>64.073759271901949</c:v>
                </c:pt>
                <c:pt idx="194">
                  <c:v>64.26381319423038</c:v>
                </c:pt>
                <c:pt idx="195">
                  <c:v>64.452861709573256</c:v>
                </c:pt>
                <c:pt idx="196">
                  <c:v>64.640910136648543</c:v>
                </c:pt>
                <c:pt idx="197">
                  <c:v>64.827963766037527</c:v>
                </c:pt>
                <c:pt idx="198">
                  <c:v>65.014027860333769</c:v>
                </c:pt>
                <c:pt idx="199">
                  <c:v>65.199107654291069</c:v>
                </c:pt>
                <c:pt idx="200">
                  <c:v>65.38320835497079</c:v>
                </c:pt>
              </c:numCache>
            </c:numRef>
          </c:xVal>
          <c:yVal>
            <c:numRef>
              <c:f>Hidden!$AE$3:$AE$203</c:f>
              <c:numCache>
                <c:formatCode>General</c:formatCode>
                <c:ptCount val="201"/>
                <c:pt idx="0">
                  <c:v>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  <c:pt idx="8">
                  <c:v>800</c:v>
                </c:pt>
                <c:pt idx="9">
                  <c:v>900</c:v>
                </c:pt>
                <c:pt idx="10">
                  <c:v>1000</c:v>
                </c:pt>
                <c:pt idx="11">
                  <c:v>1100</c:v>
                </c:pt>
                <c:pt idx="12">
                  <c:v>1200</c:v>
                </c:pt>
                <c:pt idx="13">
                  <c:v>1300</c:v>
                </c:pt>
                <c:pt idx="14">
                  <c:v>1400</c:v>
                </c:pt>
                <c:pt idx="15">
                  <c:v>1500</c:v>
                </c:pt>
                <c:pt idx="16">
                  <c:v>1600</c:v>
                </c:pt>
                <c:pt idx="17">
                  <c:v>1700</c:v>
                </c:pt>
                <c:pt idx="18">
                  <c:v>1800</c:v>
                </c:pt>
                <c:pt idx="19">
                  <c:v>1900</c:v>
                </c:pt>
                <c:pt idx="20">
                  <c:v>2000</c:v>
                </c:pt>
                <c:pt idx="21">
                  <c:v>2100</c:v>
                </c:pt>
                <c:pt idx="22">
                  <c:v>2200</c:v>
                </c:pt>
                <c:pt idx="23">
                  <c:v>2300</c:v>
                </c:pt>
                <c:pt idx="24">
                  <c:v>2400</c:v>
                </c:pt>
                <c:pt idx="25">
                  <c:v>2500</c:v>
                </c:pt>
                <c:pt idx="26">
                  <c:v>2600</c:v>
                </c:pt>
                <c:pt idx="27">
                  <c:v>2700</c:v>
                </c:pt>
                <c:pt idx="28">
                  <c:v>2800</c:v>
                </c:pt>
                <c:pt idx="29">
                  <c:v>2900</c:v>
                </c:pt>
                <c:pt idx="30">
                  <c:v>3000</c:v>
                </c:pt>
                <c:pt idx="31">
                  <c:v>3100</c:v>
                </c:pt>
                <c:pt idx="32">
                  <c:v>3200</c:v>
                </c:pt>
                <c:pt idx="33">
                  <c:v>3300</c:v>
                </c:pt>
                <c:pt idx="34">
                  <c:v>3400</c:v>
                </c:pt>
                <c:pt idx="35">
                  <c:v>3500</c:v>
                </c:pt>
                <c:pt idx="36">
                  <c:v>3600</c:v>
                </c:pt>
                <c:pt idx="37">
                  <c:v>3700</c:v>
                </c:pt>
                <c:pt idx="38">
                  <c:v>3800</c:v>
                </c:pt>
                <c:pt idx="39">
                  <c:v>3900</c:v>
                </c:pt>
                <c:pt idx="40">
                  <c:v>4000</c:v>
                </c:pt>
                <c:pt idx="41">
                  <c:v>4100</c:v>
                </c:pt>
                <c:pt idx="42">
                  <c:v>4200</c:v>
                </c:pt>
                <c:pt idx="43">
                  <c:v>4300</c:v>
                </c:pt>
                <c:pt idx="44">
                  <c:v>4400</c:v>
                </c:pt>
                <c:pt idx="45">
                  <c:v>4500</c:v>
                </c:pt>
                <c:pt idx="46">
                  <c:v>4600</c:v>
                </c:pt>
                <c:pt idx="47">
                  <c:v>4700</c:v>
                </c:pt>
                <c:pt idx="48">
                  <c:v>4800</c:v>
                </c:pt>
                <c:pt idx="49">
                  <c:v>4900</c:v>
                </c:pt>
                <c:pt idx="50">
                  <c:v>5000</c:v>
                </c:pt>
                <c:pt idx="51">
                  <c:v>5100</c:v>
                </c:pt>
                <c:pt idx="52">
                  <c:v>5200</c:v>
                </c:pt>
                <c:pt idx="53">
                  <c:v>5300</c:v>
                </c:pt>
                <c:pt idx="54">
                  <c:v>5400</c:v>
                </c:pt>
                <c:pt idx="55">
                  <c:v>5500</c:v>
                </c:pt>
                <c:pt idx="56">
                  <c:v>5600</c:v>
                </c:pt>
                <c:pt idx="57">
                  <c:v>5700</c:v>
                </c:pt>
                <c:pt idx="58">
                  <c:v>5800</c:v>
                </c:pt>
                <c:pt idx="59">
                  <c:v>5900</c:v>
                </c:pt>
                <c:pt idx="60">
                  <c:v>6000</c:v>
                </c:pt>
                <c:pt idx="61">
                  <c:v>6100</c:v>
                </c:pt>
                <c:pt idx="62">
                  <c:v>6200</c:v>
                </c:pt>
                <c:pt idx="63">
                  <c:v>6300</c:v>
                </c:pt>
                <c:pt idx="64">
                  <c:v>6400</c:v>
                </c:pt>
                <c:pt idx="65">
                  <c:v>6500</c:v>
                </c:pt>
                <c:pt idx="66">
                  <c:v>6600</c:v>
                </c:pt>
                <c:pt idx="67">
                  <c:v>6700</c:v>
                </c:pt>
                <c:pt idx="68">
                  <c:v>6800</c:v>
                </c:pt>
                <c:pt idx="69">
                  <c:v>6900</c:v>
                </c:pt>
                <c:pt idx="70">
                  <c:v>7000</c:v>
                </c:pt>
                <c:pt idx="71">
                  <c:v>7100</c:v>
                </c:pt>
                <c:pt idx="72">
                  <c:v>7200</c:v>
                </c:pt>
                <c:pt idx="73">
                  <c:v>7300</c:v>
                </c:pt>
                <c:pt idx="74">
                  <c:v>7400</c:v>
                </c:pt>
                <c:pt idx="75">
                  <c:v>7500</c:v>
                </c:pt>
                <c:pt idx="76">
                  <c:v>7600</c:v>
                </c:pt>
                <c:pt idx="77">
                  <c:v>7700</c:v>
                </c:pt>
                <c:pt idx="78">
                  <c:v>7800</c:v>
                </c:pt>
                <c:pt idx="79">
                  <c:v>7900</c:v>
                </c:pt>
                <c:pt idx="80">
                  <c:v>8000</c:v>
                </c:pt>
                <c:pt idx="81">
                  <c:v>8100</c:v>
                </c:pt>
                <c:pt idx="82">
                  <c:v>8200</c:v>
                </c:pt>
                <c:pt idx="83">
                  <c:v>8300</c:v>
                </c:pt>
                <c:pt idx="84">
                  <c:v>8400</c:v>
                </c:pt>
                <c:pt idx="85">
                  <c:v>8500</c:v>
                </c:pt>
                <c:pt idx="86">
                  <c:v>8600</c:v>
                </c:pt>
                <c:pt idx="87">
                  <c:v>8700</c:v>
                </c:pt>
                <c:pt idx="88">
                  <c:v>8800</c:v>
                </c:pt>
                <c:pt idx="89">
                  <c:v>8900</c:v>
                </c:pt>
                <c:pt idx="90">
                  <c:v>9000</c:v>
                </c:pt>
                <c:pt idx="91">
                  <c:v>9100</c:v>
                </c:pt>
                <c:pt idx="92">
                  <c:v>9200</c:v>
                </c:pt>
                <c:pt idx="93">
                  <c:v>9300</c:v>
                </c:pt>
                <c:pt idx="94">
                  <c:v>9400</c:v>
                </c:pt>
                <c:pt idx="95">
                  <c:v>9500</c:v>
                </c:pt>
                <c:pt idx="96">
                  <c:v>9600</c:v>
                </c:pt>
                <c:pt idx="97">
                  <c:v>9700</c:v>
                </c:pt>
                <c:pt idx="98">
                  <c:v>9800</c:v>
                </c:pt>
                <c:pt idx="99">
                  <c:v>9900</c:v>
                </c:pt>
                <c:pt idx="100">
                  <c:v>10000</c:v>
                </c:pt>
                <c:pt idx="101">
                  <c:v>10100</c:v>
                </c:pt>
                <c:pt idx="102">
                  <c:v>10200</c:v>
                </c:pt>
                <c:pt idx="103">
                  <c:v>10300</c:v>
                </c:pt>
                <c:pt idx="104">
                  <c:v>10400</c:v>
                </c:pt>
                <c:pt idx="105">
                  <c:v>10500</c:v>
                </c:pt>
                <c:pt idx="106">
                  <c:v>10600</c:v>
                </c:pt>
                <c:pt idx="107">
                  <c:v>10700</c:v>
                </c:pt>
                <c:pt idx="108">
                  <c:v>10800</c:v>
                </c:pt>
                <c:pt idx="109">
                  <c:v>10900</c:v>
                </c:pt>
                <c:pt idx="110">
                  <c:v>11000</c:v>
                </c:pt>
                <c:pt idx="111">
                  <c:v>11100</c:v>
                </c:pt>
                <c:pt idx="112">
                  <c:v>11200</c:v>
                </c:pt>
                <c:pt idx="113">
                  <c:v>11300</c:v>
                </c:pt>
                <c:pt idx="114">
                  <c:v>11400</c:v>
                </c:pt>
                <c:pt idx="115">
                  <c:v>11500</c:v>
                </c:pt>
                <c:pt idx="116">
                  <c:v>11600</c:v>
                </c:pt>
                <c:pt idx="117">
                  <c:v>11700</c:v>
                </c:pt>
                <c:pt idx="118">
                  <c:v>11800</c:v>
                </c:pt>
                <c:pt idx="119">
                  <c:v>11900</c:v>
                </c:pt>
                <c:pt idx="120">
                  <c:v>12000</c:v>
                </c:pt>
                <c:pt idx="121">
                  <c:v>12100</c:v>
                </c:pt>
                <c:pt idx="122">
                  <c:v>12200</c:v>
                </c:pt>
                <c:pt idx="123">
                  <c:v>12300</c:v>
                </c:pt>
                <c:pt idx="124">
                  <c:v>12400</c:v>
                </c:pt>
                <c:pt idx="125">
                  <c:v>12500</c:v>
                </c:pt>
                <c:pt idx="126">
                  <c:v>12600</c:v>
                </c:pt>
                <c:pt idx="127">
                  <c:v>12700</c:v>
                </c:pt>
                <c:pt idx="128">
                  <c:v>12800</c:v>
                </c:pt>
                <c:pt idx="129">
                  <c:v>12900</c:v>
                </c:pt>
                <c:pt idx="130">
                  <c:v>13000</c:v>
                </c:pt>
                <c:pt idx="131">
                  <c:v>13100</c:v>
                </c:pt>
                <c:pt idx="132">
                  <c:v>13200</c:v>
                </c:pt>
                <c:pt idx="133">
                  <c:v>13300</c:v>
                </c:pt>
                <c:pt idx="134">
                  <c:v>13400</c:v>
                </c:pt>
                <c:pt idx="135">
                  <c:v>13500</c:v>
                </c:pt>
                <c:pt idx="136">
                  <c:v>13600</c:v>
                </c:pt>
                <c:pt idx="137">
                  <c:v>13700</c:v>
                </c:pt>
                <c:pt idx="138">
                  <c:v>13800</c:v>
                </c:pt>
                <c:pt idx="139">
                  <c:v>13900</c:v>
                </c:pt>
                <c:pt idx="140">
                  <c:v>14000</c:v>
                </c:pt>
                <c:pt idx="141">
                  <c:v>14100</c:v>
                </c:pt>
                <c:pt idx="142">
                  <c:v>14200</c:v>
                </c:pt>
                <c:pt idx="143">
                  <c:v>14300</c:v>
                </c:pt>
                <c:pt idx="144">
                  <c:v>14400</c:v>
                </c:pt>
                <c:pt idx="145">
                  <c:v>14500</c:v>
                </c:pt>
                <c:pt idx="146">
                  <c:v>14600</c:v>
                </c:pt>
                <c:pt idx="147">
                  <c:v>14700</c:v>
                </c:pt>
                <c:pt idx="148">
                  <c:v>14800</c:v>
                </c:pt>
                <c:pt idx="149">
                  <c:v>14900</c:v>
                </c:pt>
                <c:pt idx="150">
                  <c:v>15000</c:v>
                </c:pt>
                <c:pt idx="151">
                  <c:v>15100</c:v>
                </c:pt>
                <c:pt idx="152">
                  <c:v>15200</c:v>
                </c:pt>
                <c:pt idx="153">
                  <c:v>15300</c:v>
                </c:pt>
                <c:pt idx="154">
                  <c:v>15400</c:v>
                </c:pt>
                <c:pt idx="155">
                  <c:v>15500</c:v>
                </c:pt>
                <c:pt idx="156">
                  <c:v>15600</c:v>
                </c:pt>
                <c:pt idx="157">
                  <c:v>15700</c:v>
                </c:pt>
                <c:pt idx="158">
                  <c:v>15800</c:v>
                </c:pt>
                <c:pt idx="159">
                  <c:v>15900</c:v>
                </c:pt>
                <c:pt idx="160">
                  <c:v>16000</c:v>
                </c:pt>
                <c:pt idx="161">
                  <c:v>16100</c:v>
                </c:pt>
                <c:pt idx="162">
                  <c:v>16200</c:v>
                </c:pt>
                <c:pt idx="163">
                  <c:v>16300</c:v>
                </c:pt>
                <c:pt idx="164">
                  <c:v>16400</c:v>
                </c:pt>
                <c:pt idx="165">
                  <c:v>16500</c:v>
                </c:pt>
                <c:pt idx="166">
                  <c:v>16600</c:v>
                </c:pt>
                <c:pt idx="167">
                  <c:v>16700</c:v>
                </c:pt>
                <c:pt idx="168">
                  <c:v>16800</c:v>
                </c:pt>
                <c:pt idx="169">
                  <c:v>16900</c:v>
                </c:pt>
                <c:pt idx="170">
                  <c:v>17000</c:v>
                </c:pt>
                <c:pt idx="171">
                  <c:v>17100</c:v>
                </c:pt>
                <c:pt idx="172">
                  <c:v>17200</c:v>
                </c:pt>
                <c:pt idx="173">
                  <c:v>17300</c:v>
                </c:pt>
                <c:pt idx="174">
                  <c:v>17400</c:v>
                </c:pt>
                <c:pt idx="175">
                  <c:v>17500</c:v>
                </c:pt>
                <c:pt idx="176">
                  <c:v>17600</c:v>
                </c:pt>
                <c:pt idx="177">
                  <c:v>17700</c:v>
                </c:pt>
                <c:pt idx="178">
                  <c:v>17800</c:v>
                </c:pt>
                <c:pt idx="179">
                  <c:v>17900</c:v>
                </c:pt>
                <c:pt idx="180">
                  <c:v>18000</c:v>
                </c:pt>
                <c:pt idx="181">
                  <c:v>18100</c:v>
                </c:pt>
                <c:pt idx="182">
                  <c:v>18200</c:v>
                </c:pt>
                <c:pt idx="183">
                  <c:v>18300</c:v>
                </c:pt>
                <c:pt idx="184">
                  <c:v>18400</c:v>
                </c:pt>
                <c:pt idx="185">
                  <c:v>18500</c:v>
                </c:pt>
                <c:pt idx="186">
                  <c:v>18600</c:v>
                </c:pt>
                <c:pt idx="187">
                  <c:v>18700</c:v>
                </c:pt>
                <c:pt idx="188">
                  <c:v>18800</c:v>
                </c:pt>
                <c:pt idx="189">
                  <c:v>18900</c:v>
                </c:pt>
                <c:pt idx="190">
                  <c:v>19000</c:v>
                </c:pt>
                <c:pt idx="191">
                  <c:v>19100</c:v>
                </c:pt>
                <c:pt idx="192">
                  <c:v>19200</c:v>
                </c:pt>
                <c:pt idx="193">
                  <c:v>19300</c:v>
                </c:pt>
                <c:pt idx="194">
                  <c:v>19400</c:v>
                </c:pt>
                <c:pt idx="195">
                  <c:v>19500</c:v>
                </c:pt>
                <c:pt idx="196">
                  <c:v>19600</c:v>
                </c:pt>
                <c:pt idx="197">
                  <c:v>19700</c:v>
                </c:pt>
                <c:pt idx="198">
                  <c:v>19800</c:v>
                </c:pt>
                <c:pt idx="199">
                  <c:v>19900</c:v>
                </c:pt>
                <c:pt idx="200">
                  <c:v>20000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7AAA-46E7-A70E-664E7E11226A}"/>
            </c:ext>
          </c:extLst>
        </c:ser>
        <c:ser>
          <c:idx val="3"/>
          <c:order val="3"/>
          <c:tx>
            <c:v>Block</c:v>
          </c:tx>
          <c:marker>
            <c:symbol val="none"/>
          </c:marker>
          <c:xVal>
            <c:numRef>
              <c:f>Hidden!$AI$3:$AI$203</c:f>
              <c:numCache>
                <c:formatCode>General</c:formatCode>
                <c:ptCount val="201"/>
                <c:pt idx="0">
                  <c:v>0</c:v>
                </c:pt>
                <c:pt idx="1">
                  <c:v>2.2788351868122114</c:v>
                </c:pt>
                <c:pt idx="2">
                  <c:v>4.5057394755378848</c:v>
                </c:pt>
                <c:pt idx="3">
                  <c:v>6.6818962857554514</c:v>
                </c:pt>
                <c:pt idx="4">
                  <c:v>8.8084620688615658</c:v>
                </c:pt>
                <c:pt idx="5">
                  <c:v>10.886566922631546</c:v>
                </c:pt>
                <c:pt idx="6">
                  <c:v>12.91731519177497</c:v>
                </c:pt>
                <c:pt idx="7">
                  <c:v>14.901786054805576</c:v>
                </c:pt>
                <c:pt idx="8">
                  <c:v>16.841034097537399</c:v>
                </c:pt>
                <c:pt idx="9">
                  <c:v>18.736089873511887</c:v>
                </c:pt>
                <c:pt idx="10">
                  <c:v>20.587960451653743</c:v>
                </c:pt>
                <c:pt idx="11">
                  <c:v>22.397629951446685</c:v>
                </c:pt>
                <c:pt idx="12">
                  <c:v>24.166060065913342</c:v>
                </c:pt>
                <c:pt idx="13">
                  <c:v>25.894190572677335</c:v>
                </c:pt>
                <c:pt idx="14">
                  <c:v>27.582939833379172</c:v>
                </c:pt>
                <c:pt idx="15">
                  <c:v>29.233205281711093</c:v>
                </c:pt>
                <c:pt idx="16">
                  <c:v>30.845863900330627</c:v>
                </c:pt>
                <c:pt idx="17">
                  <c:v>32.421772686905889</c:v>
                </c:pt>
                <c:pt idx="18">
                  <c:v>33.961769109540619</c:v>
                </c:pt>
                <c:pt idx="19">
                  <c:v>35.466671551820696</c:v>
                </c:pt>
                <c:pt idx="20">
                  <c:v>36.937279747718897</c:v>
                </c:pt>
                <c:pt idx="21">
                  <c:v>38.37437520658883</c:v>
                </c:pt>
                <c:pt idx="22">
                  <c:v>39.77872162847396</c:v>
                </c:pt>
                <c:pt idx="23">
                  <c:v>41.151065309952415</c:v>
                </c:pt>
                <c:pt idx="24">
                  <c:v>42.492135540733358</c:v>
                </c:pt>
                <c:pt idx="25">
                  <c:v>43.802644991215402</c:v>
                </c:pt>
                <c:pt idx="26">
                  <c:v>45.083290091213357</c:v>
                </c:pt>
                <c:pt idx="27">
                  <c:v>46.334751400054373</c:v>
                </c:pt>
                <c:pt idx="28">
                  <c:v>47.55769396824018</c:v>
                </c:pt>
                <c:pt idx="29">
                  <c:v>48.752767690867671</c:v>
                </c:pt>
                <c:pt idx="30">
                  <c:v>49.920607652995564</c:v>
                </c:pt>
                <c:pt idx="31">
                  <c:v>51.061834467140841</c:v>
                </c:pt>
                <c:pt idx="32">
                  <c:v>52.177054603084052</c:v>
                </c:pt>
                <c:pt idx="33">
                  <c:v>53.266860710158959</c:v>
                </c:pt>
                <c:pt idx="34">
                  <c:v>54.331831932197815</c:v>
                </c:pt>
                <c:pt idx="35">
                  <c:v>55.372534215299432</c:v>
                </c:pt>
                <c:pt idx="36">
                  <c:v>56.389520608583751</c:v>
                </c:pt>
                <c:pt idx="37">
                  <c:v>57.383331558092841</c:v>
                </c:pt>
                <c:pt idx="38">
                  <c:v>58.354495193994119</c:v>
                </c:pt>
                <c:pt idx="39">
                  <c:v>59.303527611238948</c:v>
                </c:pt>
                <c:pt idx="40">
                  <c:v>60.230933143825347</c:v>
                </c:pt>
                <c:pt idx="41">
                  <c:v>61.137204632810736</c:v>
                </c:pt>
                <c:pt idx="42">
                  <c:v>62.022823688217066</c:v>
                </c:pt>
                <c:pt idx="43">
                  <c:v>62.888260944967691</c:v>
                </c:pt>
                <c:pt idx="44">
                  <c:v>63.733976312991693</c:v>
                </c:pt>
                <c:pt idx="45">
                  <c:v>64.560419221628891</c:v>
                </c:pt>
                <c:pt idx="46">
                  <c:v>65.368028858465152</c:v>
                </c:pt>
                <c:pt idx="47">
                  <c:v>66.157234402725095</c:v>
                </c:pt>
                <c:pt idx="48">
                  <c:v>66.928455253346158</c:v>
                </c:pt>
                <c:pt idx="49">
                  <c:v>67.682101251855258</c:v>
                </c:pt>
                <c:pt idx="50">
                  <c:v>68.418572900166325</c:v>
                </c:pt>
                <c:pt idx="51">
                  <c:v>69.138261573414781</c:v>
                </c:pt>
                <c:pt idx="52">
                  <c:v>69.841549727941739</c:v>
                </c:pt>
                <c:pt idx="53">
                  <c:v>70.528811104538676</c:v>
                </c:pt>
                <c:pt idx="54">
                  <c:v>71.200410927060346</c:v>
                </c:pt>
                <c:pt idx="55">
                  <c:v>71.8567060965118</c:v>
                </c:pt>
                <c:pt idx="56">
                  <c:v>72.498045380712469</c:v>
                </c:pt>
                <c:pt idx="57">
                  <c:v>73.124769599637915</c:v>
                </c:pt>
                <c:pt idx="58">
                  <c:v>73.737211806538227</c:v>
                </c:pt>
                <c:pt idx="59">
                  <c:v>74.335697464928813</c:v>
                </c:pt>
                <c:pt idx="60">
                  <c:v>74.920544621547933</c:v>
                </c:pt>
                <c:pt idx="61">
                  <c:v>75.492064075372966</c:v>
                </c:pt>
                <c:pt idx="62">
                  <c:v>76.050559542784768</c:v>
                </c:pt>
                <c:pt idx="63">
                  <c:v>76.596327818968419</c:v>
                </c:pt>
                <c:pt idx="64">
                  <c:v>77.129658935635945</c:v>
                </c:pt>
                <c:pt idx="65">
                  <c:v>77.650836315154635</c:v>
                </c:pt>
                <c:pt idx="66">
                  <c:v>78.160136921163144</c:v>
                </c:pt>
                <c:pt idx="67">
                  <c:v>78.657831405755289</c:v>
                </c:pt>
                <c:pt idx="68">
                  <c:v>79.144184253309717</c:v>
                </c:pt>
                <c:pt idx="69">
                  <c:v>79.619453921042023</c:v>
                </c:pt>
                <c:pt idx="70">
                  <c:v>80.083892976353795</c:v>
                </c:pt>
                <c:pt idx="71">
                  <c:v>80.537748231051822</c:v>
                </c:pt>
                <c:pt idx="72">
                  <c:v>80.981260872508599</c:v>
                </c:pt>
                <c:pt idx="73">
                  <c:v>81.414666591833893</c:v>
                </c:pt>
                <c:pt idx="74">
                  <c:v>81.838195709125543</c:v>
                </c:pt>
                <c:pt idx="75">
                  <c:v>82.252073295865955</c:v>
                </c:pt>
                <c:pt idx="76">
                  <c:v>82.656519294529403</c:v>
                </c:pt>
                <c:pt idx="77">
                  <c:v>83.051748635463653</c:v>
                </c:pt>
                <c:pt idx="78">
                  <c:v>83.437971351108104</c:v>
                </c:pt>
                <c:pt idx="79">
                  <c:v>83.815392687608963</c:v>
                </c:pt>
                <c:pt idx="80">
                  <c:v>84.184213213891113</c:v>
                </c:pt>
                <c:pt idx="81">
                  <c:v>84.544628928244165</c:v>
                </c:pt>
                <c:pt idx="82">
                  <c:v>84.896831362479716</c:v>
                </c:pt>
                <c:pt idx="83">
                  <c:v>85.241007683715125</c:v>
                </c:pt>
                <c:pt idx="84">
                  <c:v>85.577340793837536</c:v>
                </c:pt>
                <c:pt idx="85">
                  <c:v>85.906009426701573</c:v>
                </c:pt>
                <c:pt idx="86">
                  <c:v>86.227188243111883</c:v>
                </c:pt>
                <c:pt idx="87">
                  <c:v>86.541047923641273</c:v>
                </c:pt>
                <c:pt idx="88">
                  <c:v>86.847755259333525</c:v>
                </c:pt>
                <c:pt idx="89">
                  <c:v>87.147473240339494</c:v>
                </c:pt>
                <c:pt idx="90">
                  <c:v>87.440361142533078</c:v>
                </c:pt>
                <c:pt idx="91">
                  <c:v>87.726574612153584</c:v>
                </c:pt>
                <c:pt idx="92">
                  <c:v>88.00626574851897</c:v>
                </c:pt>
                <c:pt idx="93">
                  <c:v>88.279583184854474</c:v>
                </c:pt>
                <c:pt idx="94">
                  <c:v>88.546672167279056</c:v>
                </c:pt>
                <c:pt idx="95">
                  <c:v>88.807674631992057</c:v>
                </c:pt>
                <c:pt idx="96">
                  <c:v>89.062729280700736</c:v>
                </c:pt>
                <c:pt idx="97">
                  <c:v>89.311971654329042</c:v>
                </c:pt>
                <c:pt idx="98">
                  <c:v>89.555534205046655</c:v>
                </c:pt>
                <c:pt idx="99">
                  <c:v>89.793546366656614</c:v>
                </c:pt>
                <c:pt idx="100">
                  <c:v>90.026134623378908</c:v>
                </c:pt>
                <c:pt idx="101">
                  <c:v>90.25342257706663</c:v>
                </c:pt>
                <c:pt idx="102">
                  <c:v>90.475531012890329</c:v>
                </c:pt>
                <c:pt idx="103">
                  <c:v>90.692577963525594</c:v>
                </c:pt>
                <c:pt idx="104">
                  <c:v>90.904678771877883</c:v>
                </c:pt>
                <c:pt idx="105">
                  <c:v>91.111946152377939</c:v>
                </c:pt>
                <c:pt idx="106">
                  <c:v>91.314490250880368</c:v>
                </c:pt>
                <c:pt idx="107">
                  <c:v>91.512418703197312</c:v>
                </c:pt>
                <c:pt idx="108">
                  <c:v>91.705836692298149</c:v>
                </c:pt>
                <c:pt idx="109">
                  <c:v>91.894847004205715</c:v>
                </c:pt>
                <c:pt idx="110">
                  <c:v>92.079550082618837</c:v>
                </c:pt>
                <c:pt idx="111">
                  <c:v>92.260044082289966</c:v>
                </c:pt>
                <c:pt idx="112">
                  <c:v>92.4364249211865</c:v>
                </c:pt>
                <c:pt idx="113">
                  <c:v>92.608786331463449</c:v>
                </c:pt>
                <c:pt idx="114">
                  <c:v>92.77721990927455</c:v>
                </c:pt>
                <c:pt idx="115">
                  <c:v>92.941815163448055</c:v>
                </c:pt>
                <c:pt idx="116">
                  <c:v>93.102659563053649</c:v>
                </c:pt>
                <c:pt idx="117">
                  <c:v>93.259838583885013</c:v>
                </c:pt>
                <c:pt idx="118">
                  <c:v>93.413435753883377</c:v>
                </c:pt>
                <c:pt idx="119">
                  <c:v>93.563532697525872</c:v>
                </c:pt>
                <c:pt idx="120">
                  <c:v>93.710209179202323</c:v>
                </c:pt>
                <c:pt idx="121">
                  <c:v>93.853543145603552</c:v>
                </c:pt>
                <c:pt idx="122">
                  <c:v>93.99361076714375</c:v>
                </c:pt>
                <c:pt idx="123">
                  <c:v>94.130486478438996</c:v>
                </c:pt>
                <c:pt idx="124">
                  <c:v>94.264243017863009</c:v>
                </c:pt>
                <c:pt idx="125">
                  <c:v>94.394951466201988</c:v>
                </c:pt>
                <c:pt idx="126">
                  <c:v>94.522681284428089</c:v>
                </c:pt>
                <c:pt idx="127">
                  <c:v>94.64750035061239</c:v>
                </c:pt>
                <c:pt idx="128">
                  <c:v>94.769474995996632</c:v>
                </c:pt>
                <c:pt idx="129">
                  <c:v>94.888670040242872</c:v>
                </c:pt>
                <c:pt idx="130">
                  <c:v>95.0051488258799</c:v>
                </c:pt>
                <c:pt idx="131">
                  <c:v>95.118973251964647</c:v>
                </c:pt>
                <c:pt idx="132">
                  <c:v>95.23020380697659</c:v>
                </c:pt>
                <c:pt idx="133">
                  <c:v>95.338899600962435</c:v>
                </c:pt>
                <c:pt idx="134">
                  <c:v>95.445118396948345</c:v>
                </c:pt>
                <c:pt idx="135">
                  <c:v>95.548916641636325</c:v>
                </c:pt>
                <c:pt idx="136">
                  <c:v>95.650349495401059</c:v>
                </c:pt>
                <c:pt idx="137">
                  <c:v>95.749470861603214</c:v>
                </c:pt>
                <c:pt idx="138">
                  <c:v>95.84633341523471</c:v>
                </c:pt>
                <c:pt idx="139">
                  <c:v>95.940988630911207</c:v>
                </c:pt>
                <c:pt idx="140">
                  <c:v>96.033486810226691</c:v>
                </c:pt>
                <c:pt idx="141">
                  <c:v>96.123877108484805</c:v>
                </c:pt>
                <c:pt idx="142">
                  <c:v>96.212207560820744</c:v>
                </c:pt>
                <c:pt idx="143">
                  <c:v>96.298525107728167</c:v>
                </c:pt>
                <c:pt idx="144">
                  <c:v>96.38287562000427</c:v>
                </c:pt>
                <c:pt idx="145">
                  <c:v>96.465303923126385</c:v>
                </c:pt>
                <c:pt idx="146">
                  <c:v>96.545853821073052</c:v>
                </c:pt>
                <c:pt idx="147">
                  <c:v>96.624568119602358</c:v>
                </c:pt>
                <c:pt idx="148">
                  <c:v>96.701488648999742</c:v>
                </c:pt>
                <c:pt idx="149">
                  <c:v>96.776656286307329</c:v>
                </c:pt>
                <c:pt idx="150">
                  <c:v>96.850110977046853</c:v>
                </c:pt>
                <c:pt idx="151">
                  <c:v>96.921891756447451</c:v>
                </c:pt>
                <c:pt idx="152">
                  <c:v>96.992036770189699</c:v>
                </c:pt>
                <c:pt idx="153">
                  <c:v>97.060583294676988</c:v>
                </c:pt>
                <c:pt idx="154">
                  <c:v>97.127567756844925</c:v>
                </c:pt>
                <c:pt idx="155">
                  <c:v>97.193025753519279</c:v>
                </c:pt>
                <c:pt idx="156">
                  <c:v>97.256992070332842</c:v>
                </c:pt>
                <c:pt idx="157">
                  <c:v>97.319500700211137</c:v>
                </c:pt>
                <c:pt idx="158">
                  <c:v>97.380584861436986</c:v>
                </c:pt>
                <c:pt idx="159">
                  <c:v>97.440277015303252</c:v>
                </c:pt>
                <c:pt idx="160">
                  <c:v>97.498608883363431</c:v>
                </c:pt>
                <c:pt idx="161">
                  <c:v>97.555611464289143</c:v>
                </c:pt>
                <c:pt idx="162">
                  <c:v>97.611315050343322</c:v>
                </c:pt>
                <c:pt idx="163">
                  <c:v>97.665749243478189</c:v>
                </c:pt>
                <c:pt idx="164">
                  <c:v>97.718942971066241</c:v>
                </c:pt>
                <c:pt idx="165">
                  <c:v>97.770924501272845</c:v>
                </c:pt>
                <c:pt idx="166">
                  <c:v>97.821721458078443</c:v>
                </c:pt>
                <c:pt idx="167">
                  <c:v>97.871360835958527</c:v>
                </c:pt>
                <c:pt idx="168">
                  <c:v>97.919869014228965</c:v>
                </c:pt>
                <c:pt idx="169">
                  <c:v>97.967271771064503</c:v>
                </c:pt>
                <c:pt idx="170">
                  <c:v>98.013594297197741</c:v>
                </c:pt>
                <c:pt idx="171">
                  <c:v>98.058861209306045</c:v>
                </c:pt>
                <c:pt idx="172">
                  <c:v>98.103096563093246</c:v>
                </c:pt>
                <c:pt idx="173">
                  <c:v>98.146323866073331</c:v>
                </c:pt>
                <c:pt idx="174">
                  <c:v>98.188566090062793</c:v>
                </c:pt>
                <c:pt idx="175">
                  <c:v>98.229845683388277</c:v>
                </c:pt>
                <c:pt idx="176">
                  <c:v>98.270184582816114</c:v>
                </c:pt>
                <c:pt idx="177">
                  <c:v>98.309604225209796</c:v>
                </c:pt>
                <c:pt idx="178">
                  <c:v>98.348125558922106</c:v>
                </c:pt>
                <c:pt idx="179">
                  <c:v>98.385769054927337</c:v>
                </c:pt>
                <c:pt idx="180">
                  <c:v>98.422554717700066</c:v>
                </c:pt>
                <c:pt idx="181">
                  <c:v>98.45850209584583</c:v>
                </c:pt>
                <c:pt idx="182">
                  <c:v>98.493630292489669</c:v>
                </c:pt>
                <c:pt idx="183">
                  <c:v>98.527957975427896</c:v>
                </c:pt>
                <c:pt idx="184">
                  <c:v>98.561503387048504</c:v>
                </c:pt>
                <c:pt idx="185">
                  <c:v>98.594284354025547</c:v>
                </c:pt>
                <c:pt idx="186">
                  <c:v>98.626318296792533</c:v>
                </c:pt>
                <c:pt idx="187">
                  <c:v>98.65762223880003</c:v>
                </c:pt>
                <c:pt idx="188">
                  <c:v>98.688212815562196</c:v>
                </c:pt>
                <c:pt idx="189">
                  <c:v>98.718106283497264</c:v>
                </c:pt>
                <c:pt idx="190">
                  <c:v>98.747318528566467</c:v>
                </c:pt>
                <c:pt idx="191">
                  <c:v>98.775865074716165</c:v>
                </c:pt>
                <c:pt idx="192">
                  <c:v>98.803761092127587</c:v>
                </c:pt>
                <c:pt idx="193">
                  <c:v>98.83102140527852</c:v>
                </c:pt>
                <c:pt idx="194">
                  <c:v>98.857660500821339</c:v>
                </c:pt>
                <c:pt idx="195">
                  <c:v>98.883692535281469</c:v>
                </c:pt>
                <c:pt idx="196">
                  <c:v>98.909131342580494</c:v>
                </c:pt>
                <c:pt idx="197">
                  <c:v>98.933990441387678</c:v>
                </c:pt>
                <c:pt idx="198">
                  <c:v>98.958283042304117</c:v>
                </c:pt>
                <c:pt idx="199">
                  <c:v>98.982022054883075</c:v>
                </c:pt>
                <c:pt idx="200">
                  <c:v>99.005220094490383</c:v>
                </c:pt>
              </c:numCache>
            </c:numRef>
          </c:xVal>
          <c:yVal>
            <c:numRef>
              <c:f>Hidden!$AH$3:$AH$203</c:f>
              <c:numCache>
                <c:formatCode>General</c:formatCode>
                <c:ptCount val="201"/>
                <c:pt idx="0">
                  <c:v>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  <c:pt idx="8">
                  <c:v>800</c:v>
                </c:pt>
                <c:pt idx="9">
                  <c:v>900</c:v>
                </c:pt>
                <c:pt idx="10">
                  <c:v>1000</c:v>
                </c:pt>
                <c:pt idx="11">
                  <c:v>1100</c:v>
                </c:pt>
                <c:pt idx="12">
                  <c:v>1200</c:v>
                </c:pt>
                <c:pt idx="13">
                  <c:v>1300</c:v>
                </c:pt>
                <c:pt idx="14">
                  <c:v>1400</c:v>
                </c:pt>
                <c:pt idx="15">
                  <c:v>1500</c:v>
                </c:pt>
                <c:pt idx="16">
                  <c:v>1600</c:v>
                </c:pt>
                <c:pt idx="17">
                  <c:v>1700</c:v>
                </c:pt>
                <c:pt idx="18">
                  <c:v>1800</c:v>
                </c:pt>
                <c:pt idx="19">
                  <c:v>1900</c:v>
                </c:pt>
                <c:pt idx="20">
                  <c:v>2000</c:v>
                </c:pt>
                <c:pt idx="21">
                  <c:v>2100</c:v>
                </c:pt>
                <c:pt idx="22">
                  <c:v>2200</c:v>
                </c:pt>
                <c:pt idx="23">
                  <c:v>2300</c:v>
                </c:pt>
                <c:pt idx="24">
                  <c:v>2400</c:v>
                </c:pt>
                <c:pt idx="25">
                  <c:v>2500</c:v>
                </c:pt>
                <c:pt idx="26">
                  <c:v>2600</c:v>
                </c:pt>
                <c:pt idx="27">
                  <c:v>2700</c:v>
                </c:pt>
                <c:pt idx="28">
                  <c:v>2800</c:v>
                </c:pt>
                <c:pt idx="29">
                  <c:v>2900</c:v>
                </c:pt>
                <c:pt idx="30">
                  <c:v>3000</c:v>
                </c:pt>
                <c:pt idx="31">
                  <c:v>3100</c:v>
                </c:pt>
                <c:pt idx="32">
                  <c:v>3200</c:v>
                </c:pt>
                <c:pt idx="33">
                  <c:v>3300</c:v>
                </c:pt>
                <c:pt idx="34">
                  <c:v>3400</c:v>
                </c:pt>
                <c:pt idx="35">
                  <c:v>3500</c:v>
                </c:pt>
                <c:pt idx="36">
                  <c:v>3600</c:v>
                </c:pt>
                <c:pt idx="37">
                  <c:v>3700</c:v>
                </c:pt>
                <c:pt idx="38">
                  <c:v>3800</c:v>
                </c:pt>
                <c:pt idx="39">
                  <c:v>3900</c:v>
                </c:pt>
                <c:pt idx="40">
                  <c:v>4000</c:v>
                </c:pt>
                <c:pt idx="41">
                  <c:v>4100</c:v>
                </c:pt>
                <c:pt idx="42">
                  <c:v>4200</c:v>
                </c:pt>
                <c:pt idx="43">
                  <c:v>4300</c:v>
                </c:pt>
                <c:pt idx="44">
                  <c:v>4400</c:v>
                </c:pt>
                <c:pt idx="45">
                  <c:v>4500</c:v>
                </c:pt>
                <c:pt idx="46">
                  <c:v>4600</c:v>
                </c:pt>
                <c:pt idx="47">
                  <c:v>4700</c:v>
                </c:pt>
                <c:pt idx="48">
                  <c:v>4800</c:v>
                </c:pt>
                <c:pt idx="49">
                  <c:v>4900</c:v>
                </c:pt>
                <c:pt idx="50">
                  <c:v>5000</c:v>
                </c:pt>
                <c:pt idx="51">
                  <c:v>5100</c:v>
                </c:pt>
                <c:pt idx="52">
                  <c:v>5200</c:v>
                </c:pt>
                <c:pt idx="53">
                  <c:v>5300</c:v>
                </c:pt>
                <c:pt idx="54">
                  <c:v>5400</c:v>
                </c:pt>
                <c:pt idx="55">
                  <c:v>5500</c:v>
                </c:pt>
                <c:pt idx="56">
                  <c:v>5600</c:v>
                </c:pt>
                <c:pt idx="57">
                  <c:v>5700</c:v>
                </c:pt>
                <c:pt idx="58">
                  <c:v>5800</c:v>
                </c:pt>
                <c:pt idx="59">
                  <c:v>5900</c:v>
                </c:pt>
                <c:pt idx="60">
                  <c:v>6000</c:v>
                </c:pt>
                <c:pt idx="61">
                  <c:v>6100</c:v>
                </c:pt>
                <c:pt idx="62">
                  <c:v>6200</c:v>
                </c:pt>
                <c:pt idx="63">
                  <c:v>6300</c:v>
                </c:pt>
                <c:pt idx="64">
                  <c:v>6400</c:v>
                </c:pt>
                <c:pt idx="65">
                  <c:v>6500</c:v>
                </c:pt>
                <c:pt idx="66">
                  <c:v>6600</c:v>
                </c:pt>
                <c:pt idx="67">
                  <c:v>6700</c:v>
                </c:pt>
                <c:pt idx="68">
                  <c:v>6800</c:v>
                </c:pt>
                <c:pt idx="69">
                  <c:v>6900</c:v>
                </c:pt>
                <c:pt idx="70">
                  <c:v>7000</c:v>
                </c:pt>
                <c:pt idx="71">
                  <c:v>7100</c:v>
                </c:pt>
                <c:pt idx="72">
                  <c:v>7200</c:v>
                </c:pt>
                <c:pt idx="73">
                  <c:v>7300</c:v>
                </c:pt>
                <c:pt idx="74">
                  <c:v>7400</c:v>
                </c:pt>
                <c:pt idx="75">
                  <c:v>7500</c:v>
                </c:pt>
                <c:pt idx="76">
                  <c:v>7600</c:v>
                </c:pt>
                <c:pt idx="77">
                  <c:v>7700</c:v>
                </c:pt>
                <c:pt idx="78">
                  <c:v>7800</c:v>
                </c:pt>
                <c:pt idx="79">
                  <c:v>7900</c:v>
                </c:pt>
                <c:pt idx="80">
                  <c:v>8000</c:v>
                </c:pt>
                <c:pt idx="81">
                  <c:v>8100</c:v>
                </c:pt>
                <c:pt idx="82">
                  <c:v>8200</c:v>
                </c:pt>
                <c:pt idx="83">
                  <c:v>8300</c:v>
                </c:pt>
                <c:pt idx="84">
                  <c:v>8400</c:v>
                </c:pt>
                <c:pt idx="85">
                  <c:v>8500</c:v>
                </c:pt>
                <c:pt idx="86">
                  <c:v>8600</c:v>
                </c:pt>
                <c:pt idx="87">
                  <c:v>8700</c:v>
                </c:pt>
                <c:pt idx="88">
                  <c:v>8800</c:v>
                </c:pt>
                <c:pt idx="89">
                  <c:v>8900</c:v>
                </c:pt>
                <c:pt idx="90">
                  <c:v>9000</c:v>
                </c:pt>
                <c:pt idx="91">
                  <c:v>9100</c:v>
                </c:pt>
                <c:pt idx="92">
                  <c:v>9200</c:v>
                </c:pt>
                <c:pt idx="93">
                  <c:v>9300</c:v>
                </c:pt>
                <c:pt idx="94">
                  <c:v>9400</c:v>
                </c:pt>
                <c:pt idx="95">
                  <c:v>9500</c:v>
                </c:pt>
                <c:pt idx="96">
                  <c:v>9600</c:v>
                </c:pt>
                <c:pt idx="97">
                  <c:v>9700</c:v>
                </c:pt>
                <c:pt idx="98">
                  <c:v>9800</c:v>
                </c:pt>
                <c:pt idx="99">
                  <c:v>9900</c:v>
                </c:pt>
                <c:pt idx="100">
                  <c:v>10000</c:v>
                </c:pt>
                <c:pt idx="101">
                  <c:v>10100</c:v>
                </c:pt>
                <c:pt idx="102">
                  <c:v>10200</c:v>
                </c:pt>
                <c:pt idx="103">
                  <c:v>10300</c:v>
                </c:pt>
                <c:pt idx="104">
                  <c:v>10400</c:v>
                </c:pt>
                <c:pt idx="105">
                  <c:v>10500</c:v>
                </c:pt>
                <c:pt idx="106">
                  <c:v>10600</c:v>
                </c:pt>
                <c:pt idx="107">
                  <c:v>10700</c:v>
                </c:pt>
                <c:pt idx="108">
                  <c:v>10800</c:v>
                </c:pt>
                <c:pt idx="109">
                  <c:v>10900</c:v>
                </c:pt>
                <c:pt idx="110">
                  <c:v>11000</c:v>
                </c:pt>
                <c:pt idx="111">
                  <c:v>11100</c:v>
                </c:pt>
                <c:pt idx="112">
                  <c:v>11200</c:v>
                </c:pt>
                <c:pt idx="113">
                  <c:v>11300</c:v>
                </c:pt>
                <c:pt idx="114">
                  <c:v>11400</c:v>
                </c:pt>
                <c:pt idx="115">
                  <c:v>11500</c:v>
                </c:pt>
                <c:pt idx="116">
                  <c:v>11600</c:v>
                </c:pt>
                <c:pt idx="117">
                  <c:v>11700</c:v>
                </c:pt>
                <c:pt idx="118">
                  <c:v>11800</c:v>
                </c:pt>
                <c:pt idx="119">
                  <c:v>11900</c:v>
                </c:pt>
                <c:pt idx="120">
                  <c:v>12000</c:v>
                </c:pt>
                <c:pt idx="121">
                  <c:v>12100</c:v>
                </c:pt>
                <c:pt idx="122">
                  <c:v>12200</c:v>
                </c:pt>
                <c:pt idx="123">
                  <c:v>12300</c:v>
                </c:pt>
                <c:pt idx="124">
                  <c:v>12400</c:v>
                </c:pt>
                <c:pt idx="125">
                  <c:v>12500</c:v>
                </c:pt>
                <c:pt idx="126">
                  <c:v>12600</c:v>
                </c:pt>
                <c:pt idx="127">
                  <c:v>12700</c:v>
                </c:pt>
                <c:pt idx="128">
                  <c:v>12800</c:v>
                </c:pt>
                <c:pt idx="129">
                  <c:v>12900</c:v>
                </c:pt>
                <c:pt idx="130">
                  <c:v>13000</c:v>
                </c:pt>
                <c:pt idx="131">
                  <c:v>13100</c:v>
                </c:pt>
                <c:pt idx="132">
                  <c:v>13200</c:v>
                </c:pt>
                <c:pt idx="133">
                  <c:v>13300</c:v>
                </c:pt>
                <c:pt idx="134">
                  <c:v>13400</c:v>
                </c:pt>
                <c:pt idx="135">
                  <c:v>13500</c:v>
                </c:pt>
                <c:pt idx="136">
                  <c:v>13600</c:v>
                </c:pt>
                <c:pt idx="137">
                  <c:v>13700</c:v>
                </c:pt>
                <c:pt idx="138">
                  <c:v>13800</c:v>
                </c:pt>
                <c:pt idx="139">
                  <c:v>13900</c:v>
                </c:pt>
                <c:pt idx="140">
                  <c:v>14000</c:v>
                </c:pt>
                <c:pt idx="141">
                  <c:v>14100</c:v>
                </c:pt>
                <c:pt idx="142">
                  <c:v>14200</c:v>
                </c:pt>
                <c:pt idx="143">
                  <c:v>14300</c:v>
                </c:pt>
                <c:pt idx="144">
                  <c:v>14400</c:v>
                </c:pt>
                <c:pt idx="145">
                  <c:v>14500</c:v>
                </c:pt>
                <c:pt idx="146">
                  <c:v>14600</c:v>
                </c:pt>
                <c:pt idx="147">
                  <c:v>14700</c:v>
                </c:pt>
                <c:pt idx="148">
                  <c:v>14800</c:v>
                </c:pt>
                <c:pt idx="149">
                  <c:v>14900</c:v>
                </c:pt>
                <c:pt idx="150">
                  <c:v>15000</c:v>
                </c:pt>
                <c:pt idx="151">
                  <c:v>15100</c:v>
                </c:pt>
                <c:pt idx="152">
                  <c:v>15200</c:v>
                </c:pt>
                <c:pt idx="153">
                  <c:v>15300</c:v>
                </c:pt>
                <c:pt idx="154">
                  <c:v>15400</c:v>
                </c:pt>
                <c:pt idx="155">
                  <c:v>15500</c:v>
                </c:pt>
                <c:pt idx="156">
                  <c:v>15600</c:v>
                </c:pt>
                <c:pt idx="157">
                  <c:v>15700</c:v>
                </c:pt>
                <c:pt idx="158">
                  <c:v>15800</c:v>
                </c:pt>
                <c:pt idx="159">
                  <c:v>15900</c:v>
                </c:pt>
                <c:pt idx="160">
                  <c:v>16000</c:v>
                </c:pt>
                <c:pt idx="161">
                  <c:v>16100</c:v>
                </c:pt>
                <c:pt idx="162">
                  <c:v>16200</c:v>
                </c:pt>
                <c:pt idx="163">
                  <c:v>16300</c:v>
                </c:pt>
                <c:pt idx="164">
                  <c:v>16400</c:v>
                </c:pt>
                <c:pt idx="165">
                  <c:v>16500</c:v>
                </c:pt>
                <c:pt idx="166">
                  <c:v>16600</c:v>
                </c:pt>
                <c:pt idx="167">
                  <c:v>16700</c:v>
                </c:pt>
                <c:pt idx="168">
                  <c:v>16800</c:v>
                </c:pt>
                <c:pt idx="169">
                  <c:v>16900</c:v>
                </c:pt>
                <c:pt idx="170">
                  <c:v>17000</c:v>
                </c:pt>
                <c:pt idx="171">
                  <c:v>17100</c:v>
                </c:pt>
                <c:pt idx="172">
                  <c:v>17200</c:v>
                </c:pt>
                <c:pt idx="173">
                  <c:v>17300</c:v>
                </c:pt>
                <c:pt idx="174">
                  <c:v>17400</c:v>
                </c:pt>
                <c:pt idx="175">
                  <c:v>17500</c:v>
                </c:pt>
                <c:pt idx="176">
                  <c:v>17600</c:v>
                </c:pt>
                <c:pt idx="177">
                  <c:v>17700</c:v>
                </c:pt>
                <c:pt idx="178">
                  <c:v>17800</c:v>
                </c:pt>
                <c:pt idx="179">
                  <c:v>17900</c:v>
                </c:pt>
                <c:pt idx="180">
                  <c:v>18000</c:v>
                </c:pt>
                <c:pt idx="181">
                  <c:v>18100</c:v>
                </c:pt>
                <c:pt idx="182">
                  <c:v>18200</c:v>
                </c:pt>
                <c:pt idx="183">
                  <c:v>18300</c:v>
                </c:pt>
                <c:pt idx="184">
                  <c:v>18400</c:v>
                </c:pt>
                <c:pt idx="185">
                  <c:v>18500</c:v>
                </c:pt>
                <c:pt idx="186">
                  <c:v>18600</c:v>
                </c:pt>
                <c:pt idx="187">
                  <c:v>18700</c:v>
                </c:pt>
                <c:pt idx="188">
                  <c:v>18800</c:v>
                </c:pt>
                <c:pt idx="189">
                  <c:v>18900</c:v>
                </c:pt>
                <c:pt idx="190">
                  <c:v>19000</c:v>
                </c:pt>
                <c:pt idx="191">
                  <c:v>19100</c:v>
                </c:pt>
                <c:pt idx="192">
                  <c:v>19200</c:v>
                </c:pt>
                <c:pt idx="193">
                  <c:v>19300</c:v>
                </c:pt>
                <c:pt idx="194">
                  <c:v>19400</c:v>
                </c:pt>
                <c:pt idx="195">
                  <c:v>19500</c:v>
                </c:pt>
                <c:pt idx="196">
                  <c:v>19600</c:v>
                </c:pt>
                <c:pt idx="197">
                  <c:v>19700</c:v>
                </c:pt>
                <c:pt idx="198">
                  <c:v>19800</c:v>
                </c:pt>
                <c:pt idx="199">
                  <c:v>19900</c:v>
                </c:pt>
                <c:pt idx="200">
                  <c:v>20000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7AAA-46E7-A70E-664E7E1122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347584"/>
        <c:axId val="197348160"/>
      </c:scatterChart>
      <c:scatterChart>
        <c:scatterStyle val="lineMarker"/>
        <c:varyColors val="0"/>
        <c:ser>
          <c:idx val="4"/>
          <c:order val="4"/>
          <c:tx>
            <c:v>R Drop</c:v>
          </c:tx>
          <c:spPr>
            <a:ln w="19050">
              <a:solidFill>
                <a:schemeClr val="tx1"/>
              </a:solidFill>
            </a:ln>
          </c:spPr>
          <c:marker>
            <c:symbol val="star"/>
            <c:size val="6"/>
            <c:spPr>
              <a:ln>
                <a:solidFill>
                  <a:schemeClr val="tx1"/>
                </a:solidFill>
              </a:ln>
            </c:spPr>
          </c:marker>
          <c:xVal>
            <c:numRef>
              <c:f>Hidden!$Z$33</c:f>
              <c:numCache>
                <c:formatCode>General</c:formatCode>
                <c:ptCount val="1"/>
                <c:pt idx="0">
                  <c:v>82.726706305032408</c:v>
                </c:pt>
              </c:numCache>
            </c:numRef>
          </c:xVal>
          <c:yVal>
            <c:numRef>
              <c:f>Hidden!$Y$33</c:f>
              <c:numCache>
                <c:formatCode>General</c:formatCode>
                <c:ptCount val="1"/>
                <c:pt idx="0">
                  <c:v>3000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7-7AAA-46E7-A70E-664E7E11226A}"/>
            </c:ext>
          </c:extLst>
        </c:ser>
        <c:ser>
          <c:idx val="5"/>
          <c:order val="5"/>
          <c:tx>
            <c:v>E Drop</c:v>
          </c:tx>
          <c:spPr>
            <a:ln>
              <a:solidFill>
                <a:schemeClr val="tx1"/>
              </a:solidFill>
            </a:ln>
          </c:spPr>
          <c:marker>
            <c:symbol val="star"/>
            <c:size val="6"/>
            <c:spPr>
              <a:ln>
                <a:solidFill>
                  <a:schemeClr val="tx1"/>
                </a:solidFill>
              </a:ln>
            </c:spPr>
          </c:marker>
          <c:xVal>
            <c:numRef>
              <c:f>Hidden!$AC$67:$AC$68</c:f>
              <c:numCache>
                <c:formatCode>General</c:formatCode>
                <c:ptCount val="2"/>
                <c:pt idx="0">
                  <c:v>42.723442262375755</c:v>
                </c:pt>
                <c:pt idx="1">
                  <c:v>43.220011707683739</c:v>
                </c:pt>
              </c:numCache>
            </c:numRef>
          </c:xVal>
          <c:yVal>
            <c:numRef>
              <c:f>Hidden!$AB$67</c:f>
              <c:numCache>
                <c:formatCode>General</c:formatCode>
                <c:ptCount val="1"/>
                <c:pt idx="0">
                  <c:v>6400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8-7AAA-46E7-A70E-664E7E11226A}"/>
            </c:ext>
          </c:extLst>
        </c:ser>
        <c:ser>
          <c:idx val="6"/>
          <c:order val="6"/>
          <c:tx>
            <c:v>A Drop</c:v>
          </c:tx>
          <c:marker>
            <c:symbol val="star"/>
            <c:size val="6"/>
            <c:spPr>
              <a:ln>
                <a:solidFill>
                  <a:schemeClr val="tx1"/>
                </a:solidFill>
              </a:ln>
            </c:spPr>
          </c:marker>
          <c:xVal>
            <c:numRef>
              <c:f>Hidden!$AF$145</c:f>
              <c:numCache>
                <c:formatCode>General</c:formatCode>
                <c:ptCount val="1"/>
                <c:pt idx="0">
                  <c:v>52.91380053698844</c:v>
                </c:pt>
              </c:numCache>
            </c:numRef>
          </c:xVal>
          <c:yVal>
            <c:numRef>
              <c:f>Hidden!$AE$145</c:f>
              <c:numCache>
                <c:formatCode>General</c:formatCode>
                <c:ptCount val="1"/>
                <c:pt idx="0">
                  <c:v>14200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9-7AAA-46E7-A70E-664E7E11226A}"/>
            </c:ext>
          </c:extLst>
        </c:ser>
        <c:ser>
          <c:idx val="7"/>
          <c:order val="7"/>
          <c:tx>
            <c:v>B Drop</c:v>
          </c:tx>
          <c:marker>
            <c:symbol val="star"/>
            <c:size val="6"/>
            <c:spPr>
              <a:ln>
                <a:solidFill>
                  <a:schemeClr val="tx1"/>
                </a:solidFill>
              </a:ln>
            </c:spPr>
          </c:marker>
          <c:xVal>
            <c:numRef>
              <c:f>Hidden!$AI$139</c:f>
              <c:numCache>
                <c:formatCode>General</c:formatCode>
                <c:ptCount val="1"/>
                <c:pt idx="0">
                  <c:v>95.650349495401059</c:v>
                </c:pt>
              </c:numCache>
            </c:numRef>
          </c:xVal>
          <c:yVal>
            <c:numRef>
              <c:f>Hidden!$AH$139</c:f>
              <c:numCache>
                <c:formatCode>General</c:formatCode>
                <c:ptCount val="1"/>
                <c:pt idx="0">
                  <c:v>13600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A-7AAA-46E7-A70E-664E7E1122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347584"/>
        <c:axId val="197348160"/>
      </c:scatterChart>
      <c:valAx>
        <c:axId val="197347584"/>
        <c:scaling>
          <c:orientation val="minMax"/>
          <c:max val="100"/>
          <c:min val="0"/>
        </c:scaling>
        <c:delete val="0"/>
        <c:axPos val="b"/>
        <c:majorGridlines>
          <c:spPr>
            <a:ln w="12700"/>
          </c:spPr>
        </c:majorGridlines>
        <c:minorGridlines>
          <c:spPr>
            <a:ln>
              <a:solidFill>
                <a:schemeClr val="tx1">
                  <a:tint val="75000"/>
                  <a:alpha val="10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Percentage</a:t>
                </a:r>
              </a:p>
            </c:rich>
          </c:tx>
          <c:layout>
            <c:manualLayout>
              <c:xMode val="edge"/>
              <c:yMode val="edge"/>
              <c:x val="0.47792242687590236"/>
              <c:y val="0.96931993670282746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97348160"/>
        <c:crosses val="autoZero"/>
        <c:crossBetween val="midCat"/>
        <c:majorUnit val="10"/>
        <c:minorUnit val="1"/>
      </c:valAx>
      <c:valAx>
        <c:axId val="197348160"/>
        <c:scaling>
          <c:orientation val="minMax"/>
          <c:max val="20000"/>
          <c:min val="0"/>
        </c:scaling>
        <c:delete val="0"/>
        <c:axPos val="l"/>
        <c:majorGridlines/>
        <c:min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Points             </a:t>
                </a:r>
                <a:r>
                  <a:rPr lang="en-US" baseline="0"/>
                  <a:t> Invested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3.0755711775043937E-2"/>
              <c:y val="0.37166148722935055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197347584"/>
        <c:crosses val="autoZero"/>
        <c:crossBetween val="midCat"/>
        <c:majorUnit val="5000"/>
        <c:minorUnit val="1000"/>
      </c:valAx>
    </c:plotArea>
    <c:legend>
      <c:legendPos val="r"/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  <c:layout>
        <c:manualLayout>
          <c:xMode val="edge"/>
          <c:yMode val="edge"/>
          <c:x val="0.8870813537406872"/>
          <c:y val="0.85724075399665955"/>
          <c:w val="8.9823421163166522E-2"/>
          <c:h val="8.9558896047085029E-2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115" workbookViewId="0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600076</xdr:colOff>
      <xdr:row>0</xdr:row>
      <xdr:rowOff>0</xdr:rowOff>
    </xdr:from>
    <xdr:to>
      <xdr:col>24</xdr:col>
      <xdr:colOff>0</xdr:colOff>
      <xdr:row>40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363CDF98-039F-29D5-A617-1F26566091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63609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0.05355</cdr:x>
      <cdr:y>0.02346</cdr:y>
    </cdr:from>
    <cdr:to>
      <cdr:x>0.42286</cdr:x>
      <cdr:y>0.29953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63937" y="147481"/>
          <a:ext cx="3199526" cy="1735537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l"/>
          <a:r>
            <a:rPr lang="en-US" sz="1050" b="1" u="sng">
              <a:effectLst/>
              <a:latin typeface="+mn-lt"/>
              <a:ea typeface="+mn-ea"/>
              <a:cs typeface="+mn-cs"/>
            </a:rPr>
            <a:t>The percentage gained</a:t>
          </a:r>
          <a:r>
            <a:rPr lang="en-US" sz="1050" b="1" u="sng" baseline="0">
              <a:effectLst/>
              <a:latin typeface="+mn-lt"/>
              <a:ea typeface="+mn-ea"/>
              <a:cs typeface="+mn-cs"/>
            </a:rPr>
            <a:t> per 100 points drops below:</a:t>
          </a:r>
          <a:endParaRPr lang="en-US" sz="1050" b="1" u="sng">
            <a:effectLst/>
            <a:latin typeface="+mn-lt"/>
            <a:ea typeface="+mn-ea"/>
            <a:cs typeface="+mn-cs"/>
          </a:endParaRPr>
        </a:p>
        <a:p xmlns:a="http://schemas.openxmlformats.org/drawingml/2006/main">
          <a:endParaRPr lang="en-US" sz="1050">
            <a:effectLst/>
            <a:latin typeface="+mn-lt"/>
            <a:ea typeface="+mn-ea"/>
            <a:cs typeface="+mn-cs"/>
          </a:endParaRPr>
        </a:p>
        <a:p xmlns:a="http://schemas.openxmlformats.org/drawingml/2006/main">
          <a:r>
            <a:rPr lang="en-US" sz="1050" b="1">
              <a:effectLst/>
              <a:latin typeface="+mn-lt"/>
              <a:ea typeface="+mn-ea"/>
              <a:cs typeface="+mn-cs"/>
            </a:rPr>
            <a:t>*Resistances</a:t>
          </a:r>
          <a:r>
            <a:rPr lang="en-US" sz="1050">
              <a:effectLst/>
              <a:latin typeface="+mn-lt"/>
              <a:ea typeface="+mn-ea"/>
              <a:cs typeface="+mn-cs"/>
            </a:rPr>
            <a:t>:  1 at 3000 points which is equal to 82.7%</a:t>
          </a:r>
          <a:br>
            <a:rPr lang="en-US" sz="1050">
              <a:effectLst/>
              <a:latin typeface="+mn-lt"/>
              <a:ea typeface="+mn-ea"/>
              <a:cs typeface="+mn-cs"/>
            </a:rPr>
          </a:br>
          <a:endParaRPr lang="en-US" sz="1050">
            <a:effectLst/>
            <a:latin typeface="+mn-lt"/>
            <a:ea typeface="+mn-ea"/>
            <a:cs typeface="+mn-cs"/>
          </a:endParaRPr>
        </a:p>
        <a:p xmlns:a="http://schemas.openxmlformats.org/drawingml/2006/main">
          <a:r>
            <a:rPr lang="en-US" sz="1050" b="1">
              <a:effectLst/>
              <a:latin typeface="+mn-lt"/>
              <a:ea typeface="+mn-ea"/>
              <a:cs typeface="+mn-cs"/>
            </a:rPr>
            <a:t>*Evasion</a:t>
          </a:r>
          <a:r>
            <a:rPr lang="en-US" sz="1050">
              <a:effectLst/>
              <a:latin typeface="+mn-lt"/>
              <a:ea typeface="+mn-ea"/>
              <a:cs typeface="+mn-cs"/>
            </a:rPr>
            <a:t>:      0.5 at 6400 points which is equal to 42.7%</a:t>
          </a:r>
          <a:br>
            <a:rPr lang="en-US" sz="1050">
              <a:effectLst/>
              <a:latin typeface="+mn-lt"/>
              <a:ea typeface="+mn-ea"/>
              <a:cs typeface="+mn-cs"/>
            </a:rPr>
          </a:br>
          <a:endParaRPr lang="en-US" sz="1050">
            <a:effectLst/>
            <a:latin typeface="+mn-lt"/>
            <a:ea typeface="+mn-ea"/>
            <a:cs typeface="+mn-cs"/>
          </a:endParaRPr>
        </a:p>
        <a:p xmlns:a="http://schemas.openxmlformats.org/drawingml/2006/main">
          <a:r>
            <a:rPr lang="en-US" sz="1050" b="1">
              <a:effectLst/>
              <a:latin typeface="+mn-lt"/>
              <a:ea typeface="+mn-ea"/>
              <a:cs typeface="+mn-cs"/>
            </a:rPr>
            <a:t>*Armour</a:t>
          </a:r>
          <a:r>
            <a:rPr lang="en-US" sz="1050">
              <a:effectLst/>
              <a:latin typeface="+mn-lt"/>
              <a:ea typeface="+mn-ea"/>
              <a:cs typeface="+mn-cs"/>
            </a:rPr>
            <a:t>: 0.25 at 14200 points which is equal to 52.9%</a:t>
          </a:r>
          <a:br>
            <a:rPr lang="en-US" sz="1050">
              <a:effectLst/>
              <a:latin typeface="+mn-lt"/>
              <a:ea typeface="+mn-ea"/>
              <a:cs typeface="+mn-cs"/>
            </a:rPr>
          </a:br>
          <a:endParaRPr lang="en-US" sz="1050">
            <a:effectLst/>
            <a:latin typeface="+mn-lt"/>
            <a:ea typeface="+mn-ea"/>
            <a:cs typeface="+mn-cs"/>
          </a:endParaRPr>
        </a:p>
        <a:p xmlns:a="http://schemas.openxmlformats.org/drawingml/2006/main">
          <a:r>
            <a:rPr lang="en-US" sz="1050" b="1">
              <a:effectLst/>
              <a:latin typeface="+mn-lt"/>
              <a:ea typeface="+mn-ea"/>
              <a:cs typeface="+mn-cs"/>
            </a:rPr>
            <a:t>*Blocking</a:t>
          </a:r>
          <a:r>
            <a:rPr lang="en-US" sz="1050">
              <a:effectLst/>
              <a:latin typeface="+mn-lt"/>
              <a:ea typeface="+mn-ea"/>
              <a:cs typeface="+mn-cs"/>
            </a:rPr>
            <a:t>:  0.1 at 13600 points which is equal to 95.7%</a:t>
          </a:r>
        </a:p>
        <a:p xmlns:a="http://schemas.openxmlformats.org/drawingml/2006/main">
          <a:endParaRPr lang="en-US" sz="1100"/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youtu.be/V4uV3icrmw0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https://steamcommunity.com/sharedfiles/filedetails/?id=2870906456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hyperlink" Target="https://en.wikipedia.org/wiki/Rubber_duck_debugging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55"/>
  <sheetViews>
    <sheetView tabSelected="1" workbookViewId="0">
      <selection activeCell="G21" sqref="G21"/>
    </sheetView>
  </sheetViews>
  <sheetFormatPr defaultRowHeight="15" x14ac:dyDescent="0.25"/>
  <cols>
    <col min="1" max="1" width="23.5703125" bestFit="1" customWidth="1"/>
    <col min="2" max="2" width="20.28515625" bestFit="1" customWidth="1"/>
    <col min="3" max="3" width="19.42578125" bestFit="1" customWidth="1"/>
    <col min="4" max="4" width="14.85546875" bestFit="1" customWidth="1"/>
    <col min="5" max="5" width="17" customWidth="1"/>
    <col min="6" max="6" width="37.28515625" bestFit="1" customWidth="1"/>
    <col min="7" max="7" width="140.7109375" customWidth="1"/>
  </cols>
  <sheetData>
    <row r="1" spans="1:7" ht="15" customHeight="1" x14ac:dyDescent="0.25">
      <c r="A1" s="6" t="s">
        <v>40</v>
      </c>
      <c r="B1" s="87" t="s">
        <v>41</v>
      </c>
      <c r="C1" s="5"/>
      <c r="D1" s="8" t="s">
        <v>123</v>
      </c>
      <c r="E1" s="8" t="s">
        <v>128</v>
      </c>
      <c r="F1" s="3" t="s">
        <v>117</v>
      </c>
      <c r="G1" s="62" t="str">
        <f>CONCATENATE(B2," ",C2)</f>
        <v>Quick Slash With Fire</v>
      </c>
    </row>
    <row r="2" spans="1:7" ht="15" customHeight="1" x14ac:dyDescent="0.25">
      <c r="A2" s="6" t="s">
        <v>57</v>
      </c>
      <c r="B2" s="88" t="s">
        <v>28</v>
      </c>
      <c r="C2" s="88" t="s">
        <v>111</v>
      </c>
      <c r="D2" s="89">
        <v>30</v>
      </c>
      <c r="E2" s="24">
        <f>1+(D2*2)%</f>
        <v>1.6</v>
      </c>
      <c r="F2" s="3"/>
      <c r="G2" s="4" t="str">
        <f ca="1">IFERROR(INDEX(INDIRECT(CONCATENATE(SUBSTITUTE(B2," ",""),"Formulas")),MATCH(C2,INDIRECT(SUBSTITUTE(B2," ","")),0)),"Be sure to fill out the Default Attack completely")</f>
        <v>Melee Damage, Fire Damage, Elemental Damage, Direct Damage</v>
      </c>
    </row>
    <row r="3" spans="1:7" ht="15" customHeight="1" x14ac:dyDescent="0.25">
      <c r="A3" s="6" t="s">
        <v>58</v>
      </c>
      <c r="B3" s="90" t="s">
        <v>104</v>
      </c>
      <c r="C3" s="90" t="s">
        <v>111</v>
      </c>
      <c r="D3" s="91">
        <v>22</v>
      </c>
      <c r="E3" s="24">
        <f>1+(D3*2)%</f>
        <v>1.44</v>
      </c>
      <c r="F3" s="61" t="s">
        <v>202</v>
      </c>
      <c r="G3" s="4" t="str">
        <f ca="1">IFERROR("(((("&amp;IF(B8="Two 1H Weapons",B10&amp;" + "&amp;C10&amp;" + "&amp;B12&amp;" + "&amp;C12&amp;") / 4)",B10&amp;" + "&amp;C10&amp;") / 2)") &amp; " * " &amp; B5*100 &amp; "%) + "&amp; IF(B17=0,0,B17) &amp; ") * ("    &amp;    B22 * 100 &amp; "% + " &amp; IFERROR(IF(INDEX(B17:B36,MATCH(Hidden!A28,'Offensive Stats'!A17:A36,0))&lt;&gt;0,INDEX(B17:B36,MATCH(Hidden!A28,'Offensive Stats'!A17:A36,0)) * 100 &amp; "%","0%"),"") &amp; IFERROR(IF(INDEX(B17:B36,MATCH(Hidden!B28,'Offensive Stats'!A17:A36,0))&lt;&gt;0," + " &amp; INDEX(B17:B36,MATCH(Hidden!B28,'Offensive Stats'!A17:A36,0)) * 100 &amp; "%"," + 0%"),"") &amp; IFERROR(IF(INDEX(B17:B36,MATCH(Hidden!C28,'Offensive Stats'!A17:A36,0))&lt;&gt;0," + " &amp; INDEX(B17:B36,MATCH(Hidden!C28,'Offensive Stats'!A17:A36,0)) * 100 &amp; "%"," + 0%"),"") &amp; IFERROR(IF(INDEX(B17:B36,MATCH(Hidden!D28,'Offensive Stats'!A17:A36,0))&lt;&gt;0," + " &amp; INDEX(B17:B36,MATCH(Hidden!D28,'Offensive Stats'!A17:A36,0)) * 100 &amp; "%"," + 0%"),"") &amp; IFERROR(IF(INDEX(B17:B36,MATCH(Hidden!E28,'Offensive Stats'!A17:A36,0))&lt;&gt;0," + " &amp; INDEX(B17:B36,MATCH(Hidden!E28,'Offensive Stats'!A17:A36,0)) * 100 &amp; "%"," + 0%"),"") &amp; IFERROR(IF(INDEX(B17:B36,MATCH(Hidden!F28,'Offensive Stats'!A17:A36,0))&lt;&gt;0," + " &amp; INDEX(B17:B36,MATCH(Hidden!F28,'Offensive Stats'!A17:A36,0)) * 100 &amp; "%"," + 0%"),"") &amp; IFERROR(IF(INDEX(B17:B36,MATCH(Hidden!G28,'Offensive Stats'!A17:A36,0))&lt;&gt;0," + " &amp; INDEX(B17:B36,MATCH(Hidden!G28,'Offensive Stats'!A17:A36,0)) * 100 &amp; "%"," + 0%"),"") &amp; IFERROR(IF(INDEX(B17:B36,MATCH(Hidden!H28,'Offensive Stats'!A17:A36,0))&lt;&gt;0," + " &amp; INDEX(B17:B36,MATCH(Hidden!H28,'Offensive Stats'!A17:A36,0)) * 100 &amp; "%"," + 0%"),"") &amp; IFERROR(IF(INDEX(B17:B36,MATCH(Hidden!I28,'Offensive Stats'!A17:A36,0))&lt;&gt;0," + " &amp; INDEX(B17:B36,MATCH(Hidden!I28,'Offensive Stats'!A17:A36,0)) * 100 &amp; "%"," + 0%"),"") &amp; IFERROR(IF(INDEX(B17:B36,MATCH(Hidden!J28,'Offensive Stats'!A17:A36,0))&lt;&gt;0," + " &amp; INDEX(B17:B36,MATCH(Hidden!J28,'Offensive Stats'!A17:A36,0)) * 100 &amp; "%"," + 0%"),"") &amp; ") * ("    &amp;    (D2*2)+100 &amp; "% * " &amp; B18*100 &amp; "%" &amp; IF(B19&gt;100%," * " &amp; B19*100 &amp; "%","") &amp; IF(B20&gt;100%," * " &amp; B20*100 &amp; "%","") &amp; ") * " &amp;IF(AND(B37&gt;0,B38&gt;0),"(("&amp;100+(B38*100)&amp;"%) * (1 + ("&amp;B37*100&amp;"% * ("&amp;100-(B38*100)&amp;"%)))) * ",IF(B37&gt;0,"("&amp;100+(B37*100)&amp;"%) * ",IF(AND(B37=0,B38&gt;0),"("&amp;100+(B38*100)&amp;"%) * ","")))&amp;"(" &amp; C36*100 &amp; "%) * [(" &amp; B21*100 &amp; "%) If hitting a boss]","Be sure to fill out the Default Attack completely")</f>
        <v>((((18 + 24) / 2) * 100%) + 0) * (100% + 0% + 0% + 0%) * (160% * 100%) * (102.5%) * [(100%) If hitting a boss]</v>
      </c>
    </row>
    <row r="4" spans="1:7" ht="15" customHeight="1" x14ac:dyDescent="0.25">
      <c r="A4" s="7"/>
      <c r="B4" s="7"/>
      <c r="C4" s="7"/>
      <c r="D4" s="7"/>
      <c r="F4" s="61" t="s">
        <v>542</v>
      </c>
      <c r="G4" s="4">
        <f ca="1">IFERROR(((IF(B8="Two 1H Weapons",AVERAGE(B10:C10,B12:C12),AVERAGE(B10:C10))*B5)+B17)*(CELL("contents",INDIRECT("Hidden!"&amp;ADDRESS(CELL("row",INDEX(INDIRECT(CONCATENATE(SUBSTITUTE(B2," ",""),"Formulas")),MATCH(C2,INDIRECT(SUBSTITUTE(B2," ","")),0))),CELL("col",INDEX(INDIRECT(CONCATENATE(SUBSTITUTE(B2," ",""),"Formulas")),MATCH(C2,INDIRECT(SUBSTITUTE(B2," ","")),0)))+1))))*(E2*B18)*((1+B38)*(1+(B37*(1-B38))))*(C36),"Be sure to fill out the Default Attack completely")</f>
        <v>34.44</v>
      </c>
    </row>
    <row r="5" spans="1:7" ht="15" customHeight="1" x14ac:dyDescent="0.25">
      <c r="A5" s="6" t="s">
        <v>238</v>
      </c>
      <c r="B5" s="92">
        <f ca="1">IFERROR(CELL("contents",INDIRECT("Hidden!"&amp;ADDRESS(CELL("row",INDEX(INDIRECT(CONCATENATE(SUBSTITUTE(B2," ",""),"Formulas")),1))-1,3))),"Fill in everything")</f>
        <v>1</v>
      </c>
      <c r="C5" s="93">
        <f ca="1">IFERROR(CELL("contents",INDIRECT("Hidden!"&amp;ADDRESS(CELL("row",INDEX(INDIRECT(CONCATENATE(SUBSTITUTE(B3," ",""),"Formulas")),1))-1,3))),"Fill in everything")</f>
        <v>2</v>
      </c>
      <c r="F5" s="61" t="s">
        <v>543</v>
      </c>
      <c r="G5" s="4">
        <f ca="1">IFERROR(G4*B21,"Be sure to fill out the Default Attack completely")</f>
        <v>34.44</v>
      </c>
    </row>
    <row r="6" spans="1:7" ht="15" customHeight="1" x14ac:dyDescent="0.25">
      <c r="A6" s="6" t="s">
        <v>239</v>
      </c>
      <c r="B6" s="92">
        <f ca="1">IFERROR(CELL("contents",INDIRECT("Hidden!"&amp;ADDRESS(CELL("row",INDEX(INDIRECT(CONCATENATE(SUBSTITUTE(B2," ",""),"Formulas")),1))*1,3))),"Fill in everything")</f>
        <v>1</v>
      </c>
      <c r="F6" s="61" t="s">
        <v>206</v>
      </c>
      <c r="G6" s="4" t="str">
        <f ca="1">IFERROR(IF(B8="Two 1H Weapons","(Average ","(") &amp; "Weapon Atk Speed * "&amp;B6*100&amp;"%) / Attack Speed Multiplier / (1 + Attack Speed)","Be sure to fill out the Default Attack completely")</f>
        <v>(Weapon Atk Speed * 100%) / Attack Speed Multiplier / (1 + Attack Speed)</v>
      </c>
    </row>
    <row r="7" spans="1:7" ht="15" customHeight="1" x14ac:dyDescent="0.25">
      <c r="F7" s="61" t="s">
        <v>207</v>
      </c>
      <c r="G7" s="86">
        <f ca="1">IFERROR((IF(B8="Two 1H Weapons",AVERAGE(D10,D12),D10)*B6)/B34/(1+B33),"Be sure to fill out the Default Attack completely")</f>
        <v>2.4</v>
      </c>
    </row>
    <row r="8" spans="1:7" ht="15" customHeight="1" thickBot="1" x14ac:dyDescent="0.3">
      <c r="A8" s="6" t="s">
        <v>264</v>
      </c>
      <c r="B8" s="206" t="s">
        <v>265</v>
      </c>
      <c r="C8" s="206"/>
      <c r="F8" s="61" t="s">
        <v>208</v>
      </c>
      <c r="G8" s="2" t="s">
        <v>205</v>
      </c>
    </row>
    <row r="9" spans="1:7" ht="15" customHeight="1" x14ac:dyDescent="0.25">
      <c r="A9" s="33" t="s">
        <v>212</v>
      </c>
      <c r="B9" s="31" t="s">
        <v>121</v>
      </c>
      <c r="C9" s="31" t="s">
        <v>122</v>
      </c>
      <c r="D9" s="32" t="s">
        <v>30</v>
      </c>
      <c r="F9" s="61" t="s">
        <v>209</v>
      </c>
      <c r="G9" s="4">
        <f ca="1">IFERROR(G4/G7,"Be sure to fill out the Default Attack completely")</f>
        <v>14.35</v>
      </c>
    </row>
    <row r="10" spans="1:7" ht="15" customHeight="1" thickBot="1" x14ac:dyDescent="0.3">
      <c r="A10" s="30" t="s">
        <v>124</v>
      </c>
      <c r="B10" s="84">
        <v>18</v>
      </c>
      <c r="C10" s="84">
        <v>24</v>
      </c>
      <c r="D10" s="85">
        <v>2.4</v>
      </c>
    </row>
    <row r="11" spans="1:7" ht="15" customHeight="1" x14ac:dyDescent="0.25">
      <c r="A11" s="33" t="s">
        <v>213</v>
      </c>
      <c r="B11" s="31" t="s">
        <v>121</v>
      </c>
      <c r="C11" s="31" t="s">
        <v>122</v>
      </c>
      <c r="D11" s="32" t="s">
        <v>30</v>
      </c>
      <c r="F11" s="3" t="s">
        <v>117</v>
      </c>
      <c r="G11" s="63" t="str">
        <f>CONCATENATE(B3," ",C3)</f>
        <v>Earthquake With Fire</v>
      </c>
    </row>
    <row r="12" spans="1:7" ht="15" customHeight="1" thickBot="1" x14ac:dyDescent="0.3">
      <c r="A12" s="30" t="s">
        <v>124</v>
      </c>
      <c r="B12" s="84">
        <v>0</v>
      </c>
      <c r="C12" s="84">
        <v>0</v>
      </c>
      <c r="D12" s="85">
        <v>0</v>
      </c>
      <c r="F12" s="3"/>
      <c r="G12" s="4" t="str">
        <f ca="1">IFERROR(INDEX(INDIRECT(CONCATENATE(SUBSTITUTE(B3," ",""),"Formulas")),MATCH(C3,INDIRECT(SUBSTITUTE(B3," ","")),0)),"Be sure to fill out the Offensive Move completely")</f>
        <v>Fire Damage, Elemental Damage, Area Damage</v>
      </c>
    </row>
    <row r="13" spans="1:7" ht="15" customHeight="1" x14ac:dyDescent="0.25">
      <c r="F13" s="64" t="s">
        <v>202</v>
      </c>
      <c r="G13" s="4" t="str">
        <f ca="1">IFERROR("(((("&amp;IF(B8="Two 1H Weapons",B10&amp;" + "&amp;C10&amp;" + "&amp;B12&amp;" + "&amp;C12&amp;") / 4)",B10&amp;" + "&amp;C10&amp;") / 2)") &amp; " * " &amp; C5*100 &amp; "%) + "&amp; IF(B17=0,0,B17) &amp; ") * ("    &amp;    B22 * 100 &amp; "% + " &amp; IFERROR(IF(INDEX(B17:B36,MATCH(Hidden!A30,'Offensive Stats'!A17:A36,0))&lt;&gt;0,INDEX(B17:B36,MATCH(Hidden!A30,'Offensive Stats'!A17:A36,0)) * 100 &amp; "%","0%"),"") &amp; IFERROR(IF(INDEX(B17:B36,MATCH(Hidden!B30,'Offensive Stats'!A17:A36,0))&lt;&gt;0," + " &amp; INDEX(B17:B36,MATCH(Hidden!B30,'Offensive Stats'!A17:A36,0)) * 100 &amp; "%"," + 0%"),"") &amp; IFERROR(IF(INDEX(B17:B36,MATCH(Hidden!C30,'Offensive Stats'!A17:A36,0))&lt;&gt;0," + " &amp; INDEX(B17:B36,MATCH(Hidden!C30,'Offensive Stats'!A17:A36,0)) * 100 &amp; "%"," + 0%"),"") &amp; IFERROR(IF(INDEX(B17:B36,MATCH(Hidden!D30,'Offensive Stats'!A17:A36,0))&lt;&gt;0," + " &amp; INDEX(B17:B36,MATCH(Hidden!D30,'Offensive Stats'!A17:A36,0)) * 100 &amp; "%"," + 0%"),"") &amp; IFERROR(IF(INDEX(B17:B36,MATCH(Hidden!E30,'Offensive Stats'!A17:A36,0))&lt;&gt;0," + " &amp; INDEX(B17:B36,MATCH(Hidden!E30,'Offensive Stats'!A17:A36,0)) * 100 &amp; "%"," + 0%"),"") &amp; IFERROR(IF(INDEX(B17:B36,MATCH(Hidden!F30,'Offensive Stats'!A17:A36,0))&lt;&gt;0," + " &amp; INDEX(B17:B36,MATCH(Hidden!F30,'Offensive Stats'!A17:A36,0)) * 100 &amp; "%"," + 0%"),"") &amp; IFERROR(IF(INDEX(B17:B36,MATCH(Hidden!G30,'Offensive Stats'!A17:A36,0))&lt;&gt;0," + " &amp; INDEX(B17:B36,MATCH(Hidden!G30,'Offensive Stats'!A17:A36,0)) * 100 &amp; "%"," + 0%"),"") &amp; IFERROR(IF(INDEX(B17:B36,MATCH(Hidden!H30,'Offensive Stats'!A17:A36,0))&lt;&gt;0," + " &amp; INDEX(B17:B36,MATCH(Hidden!H30,'Offensive Stats'!A17:A36,0)) * 100 &amp; "%"," + 0%"),"") &amp; IFERROR(IF(INDEX(B17:B36,MATCH(Hidden!I30,'Offensive Stats'!A17:A36,0))&lt;&gt;0," + " &amp; INDEX(B17:B36,MATCH(Hidden!I30,'Offensive Stats'!A17:A36,0)) * 100 &amp; "%"," + 0%"),"") &amp; IFERROR(IF(INDEX(B17:B36,MATCH(Hidden!J30,'Offensive Stats'!A17:A36,0))&lt;&gt;0," + " &amp; INDEX(B17:B36,MATCH(Hidden!J30,'Offensive Stats'!A17:A36,0)) * 100 &amp; "%"," + 0%"),"") &amp; ") * ("    &amp;    (D3*2)+100 &amp; "% * " &amp; B18*100 &amp; "%" &amp; IF(B19&gt;100%," * " &amp; B19*100 &amp; "%","") &amp; IF(B20&gt;100%," * " &amp; B20*100 &amp; "%","") &amp; ") * " &amp;IF(AND(B37&gt;0,B38&gt;0),"(("&amp;100+(B38*100)&amp;"%) * (1 + ("&amp;B37*100&amp;"% * ("&amp;100-(B38*100)&amp;"%)))) * ",IF(B37&gt;0,"("&amp;100+(B37*100)&amp;"%) * ",IF(AND(B37=0,B38&gt;0),"("&amp;100+(B38*100)&amp;"%) * ","")))&amp;"(" &amp; C36*100 &amp; "%) * [(" &amp; B21*100 &amp; "%) If hitting a boss]","Be sure to fill out the Offensive Move completely")</f>
        <v>((((18 + 24) / 2) * 200%) + 0) * (100% + 0% + 0%) * (144% * 100%) * (102.5%) * [(100%) If hitting a boss]</v>
      </c>
    </row>
    <row r="14" spans="1:7" ht="15" customHeight="1" thickBot="1" x14ac:dyDescent="0.3">
      <c r="A14" s="23" t="s">
        <v>127</v>
      </c>
      <c r="B14" s="23"/>
      <c r="F14" s="64" t="s">
        <v>542</v>
      </c>
      <c r="G14" s="4">
        <f ca="1">IFERROR(((IF(B8="Two 1H Weapons",AVERAGE(B10:C10,B12:C12),AVERAGE(B10:C10))*C5)+B17)*(CELL("contents",INDIRECT("Hidden!"&amp;ADDRESS(CELL("row",INDEX(INDIRECT(CONCATENATE(SUBSTITUTE(B3," ",""),"Formulas")),MATCH(C3,INDIRECT(SUBSTITUTE(B3," ","")),0))),CELL("col",INDEX(INDIRECT(CONCATENATE(SUBSTITUTE(B3," ",""),"Formulas")),MATCH(C3,INDIRECT(SUBSTITUTE(B3," ","")),0)))+1))))*(E3*B18)*((1+B38)*(1+(B37*(1-B38))))*(C36),"Be sure to fill out the Offensive Move completely")</f>
        <v>61.99199999999999</v>
      </c>
    </row>
    <row r="15" spans="1:7" ht="15" customHeight="1" x14ac:dyDescent="0.25">
      <c r="A15" t="s">
        <v>39</v>
      </c>
      <c r="B15" s="21" t="s">
        <v>126</v>
      </c>
      <c r="F15" s="64" t="s">
        <v>543</v>
      </c>
      <c r="G15" s="4">
        <f ca="1">IFERROR(G14*B21,"Be sure to fill out the Default Attack completely")</f>
        <v>61.99199999999999</v>
      </c>
    </row>
    <row r="16" spans="1:7" x14ac:dyDescent="0.25">
      <c r="B16" s="22" t="s">
        <v>125</v>
      </c>
    </row>
    <row r="17" spans="1:6" ht="15" customHeight="1" x14ac:dyDescent="0.25">
      <c r="A17" s="66" t="s">
        <v>10</v>
      </c>
      <c r="B17" s="74">
        <v>0</v>
      </c>
      <c r="F17" s="34"/>
    </row>
    <row r="18" spans="1:6" ht="15" customHeight="1" x14ac:dyDescent="0.25">
      <c r="A18" s="67" t="s">
        <v>11</v>
      </c>
      <c r="B18" s="75">
        <v>1</v>
      </c>
      <c r="C18" t="s">
        <v>215</v>
      </c>
    </row>
    <row r="19" spans="1:6" ht="15" customHeight="1" x14ac:dyDescent="0.25">
      <c r="A19" s="67" t="s">
        <v>219</v>
      </c>
      <c r="B19" s="75">
        <v>1</v>
      </c>
      <c r="C19" t="s">
        <v>215</v>
      </c>
      <c r="F19" s="34"/>
    </row>
    <row r="20" spans="1:6" ht="15" customHeight="1" x14ac:dyDescent="0.25">
      <c r="A20" s="67" t="s">
        <v>218</v>
      </c>
      <c r="B20" s="75">
        <v>1</v>
      </c>
      <c r="C20" t="s">
        <v>215</v>
      </c>
    </row>
    <row r="21" spans="1:6" ht="15" customHeight="1" x14ac:dyDescent="0.25">
      <c r="A21" s="67" t="s">
        <v>33</v>
      </c>
      <c r="B21" s="75">
        <v>1</v>
      </c>
      <c r="C21" t="s">
        <v>215</v>
      </c>
      <c r="F21" s="2"/>
    </row>
    <row r="22" spans="1:6" ht="15" customHeight="1" x14ac:dyDescent="0.25">
      <c r="A22" s="67" t="s">
        <v>12</v>
      </c>
      <c r="B22" s="76">
        <v>1</v>
      </c>
      <c r="C22" t="s">
        <v>215</v>
      </c>
    </row>
    <row r="23" spans="1:6" ht="15" customHeight="1" x14ac:dyDescent="0.25">
      <c r="A23" s="19" t="s">
        <v>13</v>
      </c>
      <c r="B23" s="77">
        <v>0</v>
      </c>
      <c r="C23" t="str">
        <f ca="1">IF(AND(B23&gt;0,ISERROR(VLOOKUP(A23,Hidden!$Q$1:$Q$10,1,FALSE))=TRUE),"&lt;&lt;&lt; Probably lost potential","")</f>
        <v/>
      </c>
    </row>
    <row r="24" spans="1:6" ht="15" customHeight="1" x14ac:dyDescent="0.25">
      <c r="A24" s="19" t="s">
        <v>14</v>
      </c>
      <c r="B24" s="77">
        <v>0</v>
      </c>
      <c r="C24" t="str">
        <f ca="1">IF(AND(B24&gt;0,ISERROR(VLOOKUP(A24,Hidden!$Q$1:$Q$10,1,FALSE))=TRUE),"&lt;&lt;&lt; Probably lost potential","")</f>
        <v/>
      </c>
    </row>
    <row r="25" spans="1:6" ht="15" customHeight="1" x14ac:dyDescent="0.25">
      <c r="A25" s="19" t="s">
        <v>38</v>
      </c>
      <c r="B25" s="77">
        <v>0</v>
      </c>
      <c r="C25" t="str">
        <f ca="1">IF(AND(B25&gt;0,ISERROR(VLOOKUP(A25,Hidden!$Q$1:$Q$10,1,FALSE))=TRUE),"&lt;&lt;&lt; Probably lost potential","")</f>
        <v/>
      </c>
      <c r="F25" s="2"/>
    </row>
    <row r="26" spans="1:6" ht="15" customHeight="1" x14ac:dyDescent="0.25">
      <c r="A26" s="19" t="s">
        <v>15</v>
      </c>
      <c r="B26" s="77">
        <v>0</v>
      </c>
      <c r="C26" t="str">
        <f ca="1">IF(AND(B26&gt;0,ISERROR(VLOOKUP(A26,Hidden!$Q$1:$Q$10,1,FALSE))=TRUE),"&lt;&lt;&lt; Probably lost potential","")</f>
        <v/>
      </c>
      <c r="F26" s="2"/>
    </row>
    <row r="27" spans="1:6" ht="15" customHeight="1" x14ac:dyDescent="0.25">
      <c r="A27" s="19" t="s">
        <v>16</v>
      </c>
      <c r="B27" s="77">
        <v>0</v>
      </c>
      <c r="C27" t="str">
        <f ca="1">IF(AND(B27&gt;0,ISERROR(VLOOKUP(A27,Hidden!$Q$1:$Q$10,1,FALSE))=TRUE),"&lt;&lt;&lt; Probably lost potential","")</f>
        <v/>
      </c>
      <c r="F27" s="2"/>
    </row>
    <row r="28" spans="1:6" ht="15" customHeight="1" x14ac:dyDescent="0.25">
      <c r="A28" s="19" t="s">
        <v>17</v>
      </c>
      <c r="B28" s="77">
        <v>0</v>
      </c>
      <c r="C28" t="str">
        <f ca="1">IF(AND(B28&gt;0,ISERROR(VLOOKUP(A28,Hidden!$Q$1:$Q$10,1,FALSE))=TRUE),"&lt;&lt;&lt; Probably lost potential","")</f>
        <v/>
      </c>
    </row>
    <row r="29" spans="1:6" ht="15" customHeight="1" x14ac:dyDescent="0.25">
      <c r="A29" s="19" t="s">
        <v>34</v>
      </c>
      <c r="B29" s="77">
        <v>0</v>
      </c>
      <c r="C29" t="str">
        <f ca="1">IF(AND(B29&gt;0,ISERROR(VLOOKUP(A29,Hidden!$Q$1:$Q$10,1,FALSE))=TRUE),"&lt;&lt;&lt; Probably lost potential","")</f>
        <v/>
      </c>
    </row>
    <row r="30" spans="1:6" ht="15" customHeight="1" x14ac:dyDescent="0.25">
      <c r="A30" s="19" t="s">
        <v>18</v>
      </c>
      <c r="B30" s="77">
        <v>0</v>
      </c>
      <c r="C30" t="str">
        <f ca="1">IF(AND(B30&gt;0,ISERROR(VLOOKUP(A30,Hidden!$Q$1:$Q$10,1,FALSE))=TRUE),"&lt;&lt;&lt; Probably lost potential","")</f>
        <v/>
      </c>
    </row>
    <row r="31" spans="1:6" ht="15" customHeight="1" x14ac:dyDescent="0.25">
      <c r="A31" s="19" t="s">
        <v>35</v>
      </c>
      <c r="B31" s="77">
        <v>0</v>
      </c>
      <c r="C31" t="str">
        <f ca="1">IF(AND(B31&gt;0,ISERROR(VLOOKUP(A31,Hidden!$Q$1:$Q$10,1,FALSE))=TRUE),"&lt;&lt;&lt; Probably lost potential","")</f>
        <v/>
      </c>
      <c r="F31" s="2"/>
    </row>
    <row r="32" spans="1:6" ht="15" customHeight="1" x14ac:dyDescent="0.25">
      <c r="A32" s="19" t="s">
        <v>19</v>
      </c>
      <c r="B32" s="77">
        <v>0</v>
      </c>
      <c r="C32" t="str">
        <f ca="1">IF(AND(B32&gt;0,ISERROR(VLOOKUP(A32,Hidden!$Q$1:$Q$10,1,FALSE))=TRUE),"&lt;&lt;&lt; Probably lost potential","")</f>
        <v/>
      </c>
      <c r="F32" s="2"/>
    </row>
    <row r="33" spans="1:7" ht="15" customHeight="1" x14ac:dyDescent="0.25">
      <c r="A33" s="65" t="s">
        <v>20</v>
      </c>
      <c r="B33" s="78">
        <v>0</v>
      </c>
      <c r="G33" s="5"/>
    </row>
    <row r="34" spans="1:7" ht="15" customHeight="1" thickBot="1" x14ac:dyDescent="0.3">
      <c r="A34" s="62" t="s">
        <v>21</v>
      </c>
      <c r="B34" s="79">
        <v>1</v>
      </c>
      <c r="C34" t="s">
        <v>215</v>
      </c>
      <c r="E34" s="12"/>
      <c r="G34" s="5"/>
    </row>
    <row r="35" spans="1:7" ht="15" customHeight="1" x14ac:dyDescent="0.25">
      <c r="A35" s="68" t="s">
        <v>5</v>
      </c>
      <c r="B35" s="80">
        <v>0.05</v>
      </c>
      <c r="C35" s="73" t="s">
        <v>29</v>
      </c>
      <c r="G35" s="5"/>
    </row>
    <row r="36" spans="1:7" ht="15" customHeight="1" thickBot="1" x14ac:dyDescent="0.3">
      <c r="A36" s="69" t="s">
        <v>6</v>
      </c>
      <c r="B36" s="81">
        <v>1.5</v>
      </c>
      <c r="C36" s="72">
        <f>IF(B35&gt;100%,(100%*(B36-1)+1),(B35*(B36-1)+1))</f>
        <v>1.0249999999999999</v>
      </c>
      <c r="D36" s="20"/>
      <c r="G36" s="205" t="s">
        <v>266</v>
      </c>
    </row>
    <row r="37" spans="1:7" ht="15" customHeight="1" x14ac:dyDescent="0.25">
      <c r="A37" s="70" t="s">
        <v>36</v>
      </c>
      <c r="B37" s="82">
        <v>0</v>
      </c>
      <c r="G37" s="205"/>
    </row>
    <row r="38" spans="1:7" ht="15.75" customHeight="1" thickBot="1" x14ac:dyDescent="0.3">
      <c r="A38" s="71" t="s">
        <v>37</v>
      </c>
      <c r="B38" s="83">
        <v>0</v>
      </c>
      <c r="G38" s="205"/>
    </row>
    <row r="48" spans="1:7" ht="15" customHeight="1" x14ac:dyDescent="0.25"/>
    <row r="49" spans="7:7" ht="15" customHeight="1" x14ac:dyDescent="0.25"/>
    <row r="50" spans="7:7" ht="15" customHeight="1" x14ac:dyDescent="0.25"/>
    <row r="51" spans="7:7" ht="15" customHeight="1" x14ac:dyDescent="0.25"/>
    <row r="53" spans="7:7" x14ac:dyDescent="0.25">
      <c r="G53" s="60"/>
    </row>
    <row r="54" spans="7:7" x14ac:dyDescent="0.25">
      <c r="G54" s="60"/>
    </row>
    <row r="55" spans="7:7" ht="15" customHeight="1" x14ac:dyDescent="0.25"/>
  </sheetData>
  <mergeCells count="2">
    <mergeCell ref="G36:G38"/>
    <mergeCell ref="B8:C8"/>
  </mergeCells>
  <conditionalFormatting sqref="A11:D12">
    <cfRule type="expression" dxfId="6" priority="1">
      <formula>$B$8="1H Weapon Only"</formula>
    </cfRule>
    <cfRule type="expression" dxfId="5" priority="2">
      <formula>$B$8="1H Weapon &amp; A Shield"</formula>
    </cfRule>
    <cfRule type="expression" dxfId="4" priority="3">
      <formula>$B$8="2H Weapon"</formula>
    </cfRule>
  </conditionalFormatting>
  <dataValidations count="6">
    <dataValidation type="list" allowBlank="1" showInputMessage="1" showErrorMessage="1" sqref="B2">
      <formula1>IF(B1="Warrior",W_Defaults,IF(B1="Ranger",R_Defaults,M_Defaults))</formula1>
    </dataValidation>
    <dataValidation type="list" allowBlank="1" showInputMessage="1" showErrorMessage="1" sqref="B3">
      <formula1>IF(B1="Warrior",W_Offensive,IF(B1="Ranger",R_Offensive,M_Offensive))</formula1>
    </dataValidation>
    <dataValidation type="list" allowBlank="1" showInputMessage="1" showErrorMessage="1" sqref="C2:C3">
      <formula1>INDIRECT(SUBSTITUTE(B2," ",""))</formula1>
    </dataValidation>
    <dataValidation type="list" allowBlank="1" showInputMessage="1" showErrorMessage="1" sqref="D2:D3">
      <formula1>"0,1,2,3,4,5,6,7,8,9,10,11,12,13,14,15,16,17,18,19,20,21,22,23,24,25,26,27,28,29,30"</formula1>
    </dataValidation>
    <dataValidation allowBlank="1" showInputMessage="1" showErrorMessage="1" prompt="If just the 1st column is green, the row's value is affecting the Dmg of the selected skill._x000a__x000a_If both are green, the row's value is affecting the Dmg for *all of your skills._x000a__x000a_    *Except Attack Speed &amp; its Multiplier, which is for the default skill only." sqref="A14:B14"/>
    <dataValidation type="list" allowBlank="1" showInputMessage="1" showErrorMessage="1" sqref="B8:C8">
      <formula1>"1H Weapon Only,1H Weapon &amp; A Shield,Two 1H Weapons,2H Weapon"</formula1>
    </dataValidation>
  </dataValidations>
  <hyperlinks>
    <hyperlink ref="D34:E34" r:id="rId1" display="&lt;&lt;&lt; https://youtu.be/V4uV3icrmw0"/>
  </hyperlinks>
  <pageMargins left="0.7" right="0.7" top="0.75" bottom="0.75" header="0.3" footer="0.3"/>
  <pageSetup orientation="portrait" r:id="rId2"/>
  <ignoredErrors>
    <ignoredError sqref="G4 G14" formulaRange="1"/>
  </ignoredError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B9330D16-32CD-4AB6-8F4C-98F7E004D172}">
            <xm:f>AND(NOT(ISERROR(VLOOKUP($A23:$A32,Hidden!$Q$1:$Q$10,1,FALSE))),NOT(ISERROR(VLOOKUP($A23:$A32,Hidden!$R$1:$R$10,1,FALSE))))</xm:f>
            <x14:dxf>
              <fill>
                <gradientFill>
                  <stop position="0">
                    <color rgb="FF92D050"/>
                  </stop>
                  <stop position="1">
                    <color rgb="FF00B0F0"/>
                  </stop>
                </gradientFill>
              </fill>
            </x14:dxf>
          </x14:cfRule>
          <x14:cfRule type="expression" priority="6" id="{7D53BB21-CCEB-494B-86C3-567A05D6D8DB}">
            <xm:f>NOT(ISERROR(VLOOKUP($A23:$A32,Hidden!$Q$1:$Q$10,1,FALSE)))</xm:f>
            <x14:dxf>
              <fill>
                <patternFill>
                  <bgColor rgb="FF92D050"/>
                </patternFill>
              </fill>
            </x14:dxf>
          </x14:cfRule>
          <x14:cfRule type="expression" priority="9" id="{B8BD2F1C-CDEC-4D3B-93E7-8951215FEA2F}">
            <xm:f>NOT(ISERROR(VLOOKUP($A23:$A32,Hidden!$R$1:$R$10,1,FALSE)))</xm:f>
            <x14:dxf>
              <fill>
                <patternFill>
                  <bgColor rgb="FF00B0F0"/>
                </patternFill>
              </fill>
            </x14:dxf>
          </x14:cfRule>
          <x14:cfRule type="expression" priority="10" id="{EB97B594-AF30-4E15-BCB8-8C82C856BC02}">
            <xm:f>ISERROR(VLOOKUP($A23:$A32,Hidden!$Q$1:$Q$10,1,FALSE))</xm:f>
            <x14:dxf>
              <fill>
                <patternFill>
                  <bgColor rgb="FFFF5050"/>
                </patternFill>
              </fill>
            </x14:dxf>
          </x14:cfRule>
          <xm:sqref>A23:A32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Hidden!$A$2:$A$4</xm:f>
          </x14:formula1>
          <xm:sqref>B1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40"/>
  <sheetViews>
    <sheetView workbookViewId="0">
      <selection activeCell="AB1" sqref="AB1"/>
    </sheetView>
  </sheetViews>
  <sheetFormatPr defaultRowHeight="15" x14ac:dyDescent="0.25"/>
  <cols>
    <col min="1" max="1" width="19.28515625" bestFit="1" customWidth="1"/>
    <col min="2" max="2" width="14.85546875" bestFit="1" customWidth="1"/>
    <col min="3" max="3" width="9.140625" customWidth="1"/>
  </cols>
  <sheetData>
    <row r="1" spans="1:3" x14ac:dyDescent="0.25">
      <c r="A1" s="129" t="s">
        <v>428</v>
      </c>
      <c r="B1" s="129" t="s">
        <v>429</v>
      </c>
      <c r="C1" s="130" t="s">
        <v>9</v>
      </c>
    </row>
    <row r="2" spans="1:3" x14ac:dyDescent="0.25">
      <c r="A2" t="s">
        <v>267</v>
      </c>
      <c r="B2" s="35">
        <v>9757</v>
      </c>
      <c r="C2">
        <f xml:space="preserve"> (1 - (0.5^(B2/13068))) * 100</f>
        <v>40.400711894647237</v>
      </c>
    </row>
    <row r="3" spans="1:3" ht="15.75" thickBot="1" x14ac:dyDescent="0.3"/>
    <row r="4" spans="1:3" x14ac:dyDescent="0.25">
      <c r="A4" s="119" t="s">
        <v>230</v>
      </c>
      <c r="B4" s="152">
        <v>1800</v>
      </c>
      <c r="C4" s="188">
        <f xml:space="preserve"> (1 - (0.9^(B4/180))) * 100</f>
        <v>65.132155989999987</v>
      </c>
    </row>
    <row r="5" spans="1:3" x14ac:dyDescent="0.25">
      <c r="A5" s="111" t="s">
        <v>227</v>
      </c>
      <c r="B5" s="153">
        <v>1305</v>
      </c>
      <c r="C5" s="187">
        <f t="shared" ref="C5:C11" si="0" xml:space="preserve"> (1 - (0.9^(B5/180))) * 100</f>
        <v>53.413702749639434</v>
      </c>
    </row>
    <row r="6" spans="1:3" x14ac:dyDescent="0.25">
      <c r="A6" s="112" t="s">
        <v>233</v>
      </c>
      <c r="B6" s="153">
        <v>2505</v>
      </c>
      <c r="C6" s="187">
        <f t="shared" si="0"/>
        <v>76.92146396158725</v>
      </c>
    </row>
    <row r="7" spans="1:3" x14ac:dyDescent="0.25">
      <c r="A7" s="113" t="s">
        <v>228</v>
      </c>
      <c r="B7" s="153">
        <v>4135</v>
      </c>
      <c r="C7" s="187">
        <f t="shared" si="0"/>
        <v>91.111084893197599</v>
      </c>
    </row>
    <row r="8" spans="1:3" x14ac:dyDescent="0.25">
      <c r="A8" s="114" t="s">
        <v>234</v>
      </c>
      <c r="B8" s="153">
        <v>1895</v>
      </c>
      <c r="C8" s="187">
        <f t="shared" si="0"/>
        <v>67.018127558171258</v>
      </c>
    </row>
    <row r="9" spans="1:3" x14ac:dyDescent="0.25">
      <c r="A9" s="116" t="s">
        <v>229</v>
      </c>
      <c r="B9" s="153">
        <v>1720</v>
      </c>
      <c r="C9" s="187">
        <f t="shared" si="0"/>
        <v>63.460570958328844</v>
      </c>
    </row>
    <row r="10" spans="1:3" x14ac:dyDescent="0.25">
      <c r="A10" s="117" t="s">
        <v>226</v>
      </c>
      <c r="B10" s="153">
        <v>2070</v>
      </c>
      <c r="C10" s="187">
        <f t="shared" si="0"/>
        <v>70.229312873814109</v>
      </c>
    </row>
    <row r="11" spans="1:3" x14ac:dyDescent="0.25">
      <c r="A11" s="115" t="s">
        <v>231</v>
      </c>
      <c r="B11" s="153">
        <v>2070</v>
      </c>
      <c r="C11" s="187">
        <f t="shared" si="0"/>
        <v>70.229312873814109</v>
      </c>
    </row>
    <row r="12" spans="1:3" x14ac:dyDescent="0.25">
      <c r="A12" s="118" t="s">
        <v>232</v>
      </c>
      <c r="B12" s="35">
        <v>1815</v>
      </c>
      <c r="C12" s="187">
        <f xml:space="preserve"> (1 - (0.9^(B12/1210))) * 100</f>
        <v>14.618503175453757</v>
      </c>
    </row>
    <row r="13" spans="1:3" ht="15.75" thickBot="1" x14ac:dyDescent="0.3">
      <c r="A13" s="38" t="s">
        <v>430</v>
      </c>
      <c r="B13" s="39">
        <f>SUM(B4:B12)</f>
        <v>19315</v>
      </c>
      <c r="C13" s="40"/>
    </row>
    <row r="15" spans="1:3" x14ac:dyDescent="0.25">
      <c r="A15" t="s">
        <v>334</v>
      </c>
      <c r="B15" s="35">
        <v>0</v>
      </c>
      <c r="C15">
        <f xml:space="preserve"> (1 - (0.8^(B15/968))) * 100</f>
        <v>0</v>
      </c>
    </row>
    <row r="35" spans="1:3" ht="15.75" thickBot="1" x14ac:dyDescent="0.3"/>
    <row r="36" spans="1:3" x14ac:dyDescent="0.25">
      <c r="A36" s="13" t="s">
        <v>433</v>
      </c>
      <c r="B36" s="14"/>
      <c r="C36" s="15"/>
    </row>
    <row r="37" spans="1:3" x14ac:dyDescent="0.25">
      <c r="A37" s="36" t="s">
        <v>432</v>
      </c>
      <c r="C37" s="37"/>
    </row>
    <row r="38" spans="1:3" x14ac:dyDescent="0.25">
      <c r="A38" s="36" t="s">
        <v>435</v>
      </c>
      <c r="C38" s="37"/>
    </row>
    <row r="39" spans="1:3" x14ac:dyDescent="0.25">
      <c r="A39" s="36" t="s">
        <v>431</v>
      </c>
      <c r="C39" s="37"/>
    </row>
    <row r="40" spans="1:3" ht="15.75" thickBot="1" x14ac:dyDescent="0.3">
      <c r="A40" s="38" t="s">
        <v>434</v>
      </c>
      <c r="B40" s="39"/>
      <c r="C40" s="40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N35"/>
  <sheetViews>
    <sheetView workbookViewId="0">
      <selection activeCell="Z1" sqref="Z1"/>
    </sheetView>
  </sheetViews>
  <sheetFormatPr defaultRowHeight="15" x14ac:dyDescent="0.25"/>
  <cols>
    <col min="1" max="1" width="14.42578125" bestFit="1" customWidth="1"/>
    <col min="2" max="2" width="20.5703125" customWidth="1"/>
    <col min="3" max="3" width="15.140625" bestFit="1" customWidth="1"/>
    <col min="4" max="4" width="11.140625" bestFit="1" customWidth="1"/>
    <col min="8" max="8" width="12.5703125" bestFit="1" customWidth="1"/>
  </cols>
  <sheetData>
    <row r="1" spans="1:12" x14ac:dyDescent="0.25">
      <c r="A1" s="207" t="s">
        <v>257</v>
      </c>
      <c r="B1" s="208"/>
      <c r="C1" s="208"/>
      <c r="D1" s="209"/>
      <c r="F1" s="53" t="s">
        <v>256</v>
      </c>
      <c r="G1" s="14"/>
      <c r="H1" s="14"/>
      <c r="I1" s="14"/>
      <c r="J1" s="14"/>
      <c r="K1" s="14"/>
      <c r="L1" s="15"/>
    </row>
    <row r="2" spans="1:12" x14ac:dyDescent="0.25">
      <c r="A2" s="47" t="s">
        <v>221</v>
      </c>
      <c r="B2" s="41" t="s">
        <v>222</v>
      </c>
      <c r="C2" s="41" t="s">
        <v>223</v>
      </c>
      <c r="D2" s="48" t="s">
        <v>240</v>
      </c>
      <c r="F2" s="54" t="s">
        <v>254</v>
      </c>
      <c r="G2" s="19"/>
      <c r="H2" s="19"/>
      <c r="I2" s="19"/>
      <c r="J2" s="19"/>
      <c r="K2" s="19"/>
      <c r="L2" s="55"/>
    </row>
    <row r="3" spans="1:12" x14ac:dyDescent="0.25">
      <c r="A3" s="183">
        <v>0</v>
      </c>
      <c r="B3" s="42" t="s">
        <v>12</v>
      </c>
      <c r="C3" s="43">
        <f>IF('Attributes &amp; Paragons'!A3=0,Hidden!U1,Hidden!U1*(1+'Attributes &amp; Paragons'!A3*10%))</f>
        <v>2.42</v>
      </c>
      <c r="D3" s="49">
        <f>C3*2</f>
        <v>4.84</v>
      </c>
      <c r="F3" s="54" t="s">
        <v>255</v>
      </c>
      <c r="G3" s="19"/>
      <c r="H3" s="19"/>
      <c r="I3" s="19"/>
      <c r="J3" s="19"/>
      <c r="K3" s="19"/>
      <c r="L3" s="55"/>
    </row>
    <row r="4" spans="1:12" x14ac:dyDescent="0.25">
      <c r="A4" s="183">
        <v>0</v>
      </c>
      <c r="B4" s="44" t="s">
        <v>13</v>
      </c>
      <c r="C4" s="45">
        <f>IF('Attributes &amp; Paragons'!A4=0,Hidden!U2,Hidden!U2*(1+'Attributes &amp; Paragons'!A4*10%))</f>
        <v>4.84</v>
      </c>
      <c r="D4" s="50">
        <f t="shared" ref="D4:D16" si="0">C4*2</f>
        <v>9.68</v>
      </c>
      <c r="F4" s="54" t="s">
        <v>262</v>
      </c>
      <c r="G4" s="19"/>
      <c r="H4" s="19"/>
      <c r="I4" s="19"/>
      <c r="J4" s="19"/>
      <c r="K4" s="19"/>
      <c r="L4" s="55"/>
    </row>
    <row r="5" spans="1:12" x14ac:dyDescent="0.25">
      <c r="A5" s="183">
        <v>0</v>
      </c>
      <c r="B5" s="44" t="s">
        <v>14</v>
      </c>
      <c r="C5" s="45">
        <f>IF('Attributes &amp; Paragons'!A5=0,Hidden!U3,Hidden!U3*(1+'Attributes &amp; Paragons'!A5*10%))</f>
        <v>4.84</v>
      </c>
      <c r="D5" s="50">
        <f t="shared" si="0"/>
        <v>9.68</v>
      </c>
      <c r="F5" s="36"/>
      <c r="G5" s="59" t="s">
        <v>258</v>
      </c>
      <c r="H5" t="s">
        <v>259</v>
      </c>
      <c r="L5" s="37"/>
    </row>
    <row r="6" spans="1:12" x14ac:dyDescent="0.25">
      <c r="A6" s="183">
        <v>0</v>
      </c>
      <c r="B6" s="44" t="s">
        <v>38</v>
      </c>
      <c r="C6" s="45">
        <f>IF('Attributes &amp; Paragons'!A6=0,Hidden!U4,Hidden!U4*(1+'Attributes &amp; Paragons'!A6*10%))</f>
        <v>4.84</v>
      </c>
      <c r="D6" s="50">
        <f t="shared" si="0"/>
        <v>9.68</v>
      </c>
      <c r="F6" s="36"/>
      <c r="G6" s="59" t="s">
        <v>260</v>
      </c>
      <c r="H6" t="s">
        <v>261</v>
      </c>
      <c r="L6" s="37"/>
    </row>
    <row r="7" spans="1:12" ht="15.75" thickBot="1" x14ac:dyDescent="0.3">
      <c r="A7" s="183">
        <v>0</v>
      </c>
      <c r="B7" s="44" t="s">
        <v>15</v>
      </c>
      <c r="C7" s="45">
        <f>IF('Attributes &amp; Paragons'!A7=0,Hidden!U5,Hidden!U5*(1+'Attributes &amp; Paragons'!A7*10%))</f>
        <v>4.84</v>
      </c>
      <c r="D7" s="50">
        <f t="shared" si="0"/>
        <v>9.68</v>
      </c>
      <c r="F7" s="56" t="s">
        <v>465</v>
      </c>
      <c r="G7" s="57"/>
      <c r="H7" s="57"/>
      <c r="I7" s="57"/>
      <c r="J7" s="57"/>
      <c r="K7" s="57"/>
      <c r="L7" s="58"/>
    </row>
    <row r="8" spans="1:12" x14ac:dyDescent="0.25">
      <c r="A8" s="183">
        <v>0</v>
      </c>
      <c r="B8" s="44" t="s">
        <v>16</v>
      </c>
      <c r="C8" s="45">
        <f>IF('Attributes &amp; Paragons'!A8=0,Hidden!U6,Hidden!U6*(1+'Attributes &amp; Paragons'!A8*10%))</f>
        <v>4.84</v>
      </c>
      <c r="D8" s="50">
        <f t="shared" si="0"/>
        <v>9.68</v>
      </c>
    </row>
    <row r="9" spans="1:12" ht="15.75" thickBot="1" x14ac:dyDescent="0.3">
      <c r="A9" s="183">
        <v>0</v>
      </c>
      <c r="B9" s="44" t="s">
        <v>17</v>
      </c>
      <c r="C9" s="45">
        <f>IF('Attributes &amp; Paragons'!A9=0,Hidden!U7,Hidden!U7*(1+'Attributes &amp; Paragons'!A9*10%))</f>
        <v>4.84</v>
      </c>
      <c r="D9" s="50">
        <f t="shared" si="0"/>
        <v>9.68</v>
      </c>
    </row>
    <row r="10" spans="1:12" x14ac:dyDescent="0.25">
      <c r="A10" s="183">
        <v>0</v>
      </c>
      <c r="B10" s="44" t="s">
        <v>34</v>
      </c>
      <c r="C10" s="45">
        <f>IF('Attributes &amp; Paragons'!A10=0,Hidden!U8,Hidden!U8*(1+'Attributes &amp; Paragons'!A10*10%))</f>
        <v>4.84</v>
      </c>
      <c r="D10" s="50">
        <f t="shared" si="0"/>
        <v>9.68</v>
      </c>
      <c r="F10" s="126" t="s">
        <v>244</v>
      </c>
      <c r="G10" s="124"/>
      <c r="H10" s="125"/>
      <c r="I10" s="36"/>
      <c r="J10" s="126" t="s">
        <v>245</v>
      </c>
      <c r="K10" s="124"/>
      <c r="L10" s="125"/>
    </row>
    <row r="11" spans="1:12" x14ac:dyDescent="0.25">
      <c r="A11" s="183">
        <v>0</v>
      </c>
      <c r="B11" s="44" t="s">
        <v>18</v>
      </c>
      <c r="C11" s="45">
        <f>IF('Attributes &amp; Paragons'!A11=0,Hidden!U9,Hidden!U9*(1+'Attributes &amp; Paragons'!A11*10%))</f>
        <v>4.84</v>
      </c>
      <c r="D11" s="50">
        <f t="shared" si="0"/>
        <v>9.68</v>
      </c>
      <c r="F11" s="36"/>
      <c r="G11" s="3" t="s">
        <v>241</v>
      </c>
      <c r="H11" s="181">
        <v>0</v>
      </c>
      <c r="I11" s="36"/>
      <c r="J11" s="36"/>
      <c r="K11" s="3" t="s">
        <v>246</v>
      </c>
      <c r="L11" s="182">
        <v>6</v>
      </c>
    </row>
    <row r="12" spans="1:12" ht="15.75" thickBot="1" x14ac:dyDescent="0.3">
      <c r="A12" s="183">
        <v>0</v>
      </c>
      <c r="B12" s="44" t="s">
        <v>35</v>
      </c>
      <c r="C12" s="45">
        <f>IF('Attributes &amp; Paragons'!A12=0,Hidden!U10,Hidden!U10*(1+'Attributes &amp; Paragons'!A12*10%))</f>
        <v>4.84</v>
      </c>
      <c r="D12" s="50">
        <f t="shared" si="0"/>
        <v>9.68</v>
      </c>
      <c r="F12" s="36"/>
      <c r="G12" s="3" t="s">
        <v>242</v>
      </c>
      <c r="H12" s="180">
        <v>10</v>
      </c>
      <c r="I12" s="36"/>
      <c r="J12" s="38"/>
      <c r="K12" s="39" t="s">
        <v>248</v>
      </c>
      <c r="L12" s="40">
        <f>(POWER(3,(L11-1)))</f>
        <v>243</v>
      </c>
    </row>
    <row r="13" spans="1:12" ht="15.75" thickBot="1" x14ac:dyDescent="0.3">
      <c r="A13" s="183">
        <v>0</v>
      </c>
      <c r="B13" s="42" t="s">
        <v>19</v>
      </c>
      <c r="C13" s="43">
        <f>IF('Attributes &amp; Paragons'!A13=0,Hidden!U11,Hidden!U11*(1+'Attributes &amp; Paragons'!A13*10%))</f>
        <v>2.42</v>
      </c>
      <c r="D13" s="49">
        <f t="shared" si="0"/>
        <v>4.84</v>
      </c>
      <c r="F13" s="38"/>
      <c r="G13" s="39" t="s">
        <v>247</v>
      </c>
      <c r="H13" s="39">
        <f ca="1">SUM(INDIRECT("Hidden!W"&amp;H11+2&amp;":W"&amp;H12+2))</f>
        <v>88572</v>
      </c>
      <c r="I13" s="36"/>
      <c r="J13" s="13"/>
      <c r="K13" s="178" t="s">
        <v>463</v>
      </c>
      <c r="L13" s="179">
        <f>L12/486</f>
        <v>0.5</v>
      </c>
    </row>
    <row r="14" spans="1:12" ht="15.75" thickBot="1" x14ac:dyDescent="0.3">
      <c r="A14" s="183">
        <v>0</v>
      </c>
      <c r="B14" s="41" t="s">
        <v>20</v>
      </c>
      <c r="C14" s="46">
        <f>IF('Attributes &amp; Paragons'!A14=0,Hidden!U12,Hidden!U12*(1+'Attributes &amp; Paragons'!A14*10%))</f>
        <v>0.04</v>
      </c>
      <c r="D14" s="51">
        <f t="shared" si="0"/>
        <v>0.08</v>
      </c>
      <c r="F14" s="9"/>
      <c r="G14" s="174" t="s">
        <v>460</v>
      </c>
      <c r="H14" s="175">
        <f ca="1">ROUNDUP(H13/486,0)</f>
        <v>183</v>
      </c>
      <c r="J14" s="38" t="s">
        <v>464</v>
      </c>
      <c r="K14" s="39"/>
      <c r="L14" s="40"/>
    </row>
    <row r="15" spans="1:12" ht="15" customHeight="1" x14ac:dyDescent="0.25">
      <c r="A15" s="183">
        <v>0</v>
      </c>
      <c r="B15" s="41" t="s">
        <v>5</v>
      </c>
      <c r="C15" s="46">
        <f>IF('Attributes &amp; Paragons'!A15=0,Hidden!U13,Hidden!U13*(1+'Attributes &amp; Paragons'!A15*10%))</f>
        <v>0.04</v>
      </c>
      <c r="D15" s="51">
        <f t="shared" si="0"/>
        <v>0.08</v>
      </c>
      <c r="F15" s="36" t="s">
        <v>461</v>
      </c>
      <c r="G15" s="176"/>
      <c r="H15" s="37"/>
    </row>
    <row r="16" spans="1:12" ht="15.75" thickBot="1" x14ac:dyDescent="0.3">
      <c r="A16" s="183">
        <v>0</v>
      </c>
      <c r="B16" s="41" t="s">
        <v>6</v>
      </c>
      <c r="C16" s="46">
        <f>IF('Attributes &amp; Paragons'!A16=0,Hidden!U14,Hidden!U14*(1+'Attributes &amp; Paragons'!A16*10%))</f>
        <v>0.12</v>
      </c>
      <c r="D16" s="51">
        <f t="shared" si="0"/>
        <v>0.24</v>
      </c>
      <c r="F16" s="56"/>
      <c r="G16" s="177" t="s">
        <v>462</v>
      </c>
      <c r="H16" s="58"/>
    </row>
    <row r="17" spans="1:14" x14ac:dyDescent="0.25">
      <c r="A17" s="183">
        <v>0</v>
      </c>
      <c r="B17" s="41" t="s">
        <v>7</v>
      </c>
      <c r="C17" s="41">
        <f>IF('Attributes &amp; Paragons'!A17=0,Hidden!U15,Hidden!U15*(1+'Attributes &amp; Paragons'!A17*10%))</f>
        <v>1210</v>
      </c>
      <c r="D17" s="48">
        <f>C17*2</f>
        <v>2420</v>
      </c>
    </row>
    <row r="18" spans="1:14" ht="15.75" thickBot="1" x14ac:dyDescent="0.3">
      <c r="A18" s="183">
        <v>0</v>
      </c>
      <c r="B18" s="41" t="s">
        <v>224</v>
      </c>
      <c r="C18" s="41">
        <f>IF('Attributes &amp; Paragons'!A18=0,Hidden!U16,Hidden!U16*(1+'Attributes &amp; Paragons'!A18*10%))</f>
        <v>120.5</v>
      </c>
      <c r="D18" s="48">
        <f t="shared" ref="D18:D19" si="1">C18*2</f>
        <v>241</v>
      </c>
    </row>
    <row r="19" spans="1:14" ht="15.75" thickBot="1" x14ac:dyDescent="0.3">
      <c r="A19" s="183">
        <v>0</v>
      </c>
      <c r="B19" s="41" t="s">
        <v>225</v>
      </c>
      <c r="C19" s="41">
        <f>IF('Attributes &amp; Paragons'!A19=0,Hidden!U17,Hidden!U17*(1+'Attributes &amp; Paragons'!A19*10%))</f>
        <v>603</v>
      </c>
      <c r="D19" s="186">
        <f t="shared" si="1"/>
        <v>1206</v>
      </c>
      <c r="F19" s="126" t="s">
        <v>450</v>
      </c>
      <c r="G19" s="127" t="s">
        <v>449</v>
      </c>
      <c r="H19" s="128" t="s">
        <v>453</v>
      </c>
    </row>
    <row r="20" spans="1:14" x14ac:dyDescent="0.25">
      <c r="A20" s="183">
        <v>0</v>
      </c>
      <c r="B20" s="42" t="s">
        <v>230</v>
      </c>
      <c r="C20" s="164">
        <f>IF('Attributes &amp; Paragons'!A20=0,Hidden!U18,Hidden!U18*(1+'Attributes &amp; Paragons'!A20*10%))</f>
        <v>150</v>
      </c>
      <c r="D20" s="13"/>
      <c r="F20" s="36">
        <v>1</v>
      </c>
      <c r="G20">
        <v>20</v>
      </c>
      <c r="H20" s="138">
        <v>600</v>
      </c>
    </row>
    <row r="21" spans="1:14" x14ac:dyDescent="0.25">
      <c r="A21" s="183">
        <v>0</v>
      </c>
      <c r="B21" s="42" t="s">
        <v>227</v>
      </c>
      <c r="C21" s="164">
        <f>IF('Attributes &amp; Paragons'!A21=0,Hidden!U19,Hidden!U19*(1+'Attributes &amp; Paragons'!A21*10%))</f>
        <v>150</v>
      </c>
      <c r="D21" s="36"/>
      <c r="F21" s="36">
        <v>2</v>
      </c>
      <c r="G21">
        <v>40</v>
      </c>
      <c r="H21" s="138">
        <v>1200</v>
      </c>
    </row>
    <row r="22" spans="1:14" x14ac:dyDescent="0.25">
      <c r="A22" s="183">
        <v>0</v>
      </c>
      <c r="B22" s="42" t="s">
        <v>233</v>
      </c>
      <c r="C22" s="164">
        <f>IF('Attributes &amp; Paragons'!A22=0,Hidden!U20,Hidden!U20*(1+'Attributes &amp; Paragons'!A22*10%))</f>
        <v>150</v>
      </c>
      <c r="D22" s="36"/>
      <c r="F22" s="36">
        <v>3</v>
      </c>
      <c r="G22">
        <v>60</v>
      </c>
      <c r="H22" s="138">
        <v>1800</v>
      </c>
    </row>
    <row r="23" spans="1:14" x14ac:dyDescent="0.25">
      <c r="A23" s="183">
        <v>0</v>
      </c>
      <c r="B23" s="44" t="s">
        <v>228</v>
      </c>
      <c r="C23" s="165">
        <f>IF('Attributes &amp; Paragons'!A23=0,Hidden!U21,Hidden!U21*(1+'Attributes &amp; Paragons'!A23*10%))</f>
        <v>220</v>
      </c>
      <c r="D23" s="36"/>
      <c r="F23" s="36">
        <v>4</v>
      </c>
      <c r="G23">
        <v>80</v>
      </c>
      <c r="H23" s="138">
        <v>2400</v>
      </c>
    </row>
    <row r="24" spans="1:14" x14ac:dyDescent="0.25">
      <c r="A24" s="183">
        <v>0</v>
      </c>
      <c r="B24" s="42" t="s">
        <v>235</v>
      </c>
      <c r="C24" s="164">
        <f>IF('Attributes &amp; Paragons'!A24=0,Hidden!U22,Hidden!U22*(1+'Attributes &amp; Paragons'!A24*10%))</f>
        <v>150</v>
      </c>
      <c r="D24" s="36"/>
      <c r="F24" s="122">
        <v>5</v>
      </c>
      <c r="G24" s="123">
        <v>100</v>
      </c>
      <c r="H24" s="139">
        <v>3000</v>
      </c>
    </row>
    <row r="25" spans="1:14" x14ac:dyDescent="0.25">
      <c r="A25" s="183">
        <v>0</v>
      </c>
      <c r="B25" s="44" t="s">
        <v>234</v>
      </c>
      <c r="C25" s="165">
        <f>IF('Attributes &amp; Paragons'!A25=0,Hidden!U23,Hidden!U23*(1+'Attributes &amp; Paragons'!A25*10%))</f>
        <v>350</v>
      </c>
      <c r="D25" s="36"/>
      <c r="F25" s="36">
        <v>6</v>
      </c>
      <c r="G25">
        <v>120</v>
      </c>
      <c r="H25" s="140">
        <v>600</v>
      </c>
    </row>
    <row r="26" spans="1:14" x14ac:dyDescent="0.25">
      <c r="A26" s="183">
        <v>0</v>
      </c>
      <c r="B26" s="44" t="s">
        <v>229</v>
      </c>
      <c r="C26" s="165">
        <f>IF('Attributes &amp; Paragons'!A26=0,Hidden!U24,Hidden!U24*(1+'Attributes &amp; Paragons'!A26*10%))</f>
        <v>350</v>
      </c>
      <c r="D26" s="36"/>
      <c r="F26" s="36">
        <v>7</v>
      </c>
      <c r="G26">
        <v>140</v>
      </c>
      <c r="H26" s="140">
        <v>700</v>
      </c>
    </row>
    <row r="27" spans="1:14" x14ac:dyDescent="0.25">
      <c r="A27" s="183">
        <v>0</v>
      </c>
      <c r="B27" s="44" t="s">
        <v>226</v>
      </c>
      <c r="C27" s="165">
        <f>IF('Attributes &amp; Paragons'!A27=0,Hidden!U25,Hidden!U25*(1+'Attributes &amp; Paragons'!A27*10%))</f>
        <v>350</v>
      </c>
      <c r="D27" s="36"/>
      <c r="F27" s="36">
        <v>8</v>
      </c>
      <c r="G27">
        <v>160</v>
      </c>
      <c r="H27" s="140">
        <v>800</v>
      </c>
    </row>
    <row r="28" spans="1:14" x14ac:dyDescent="0.25">
      <c r="A28" s="183">
        <v>0</v>
      </c>
      <c r="B28" s="44" t="s">
        <v>231</v>
      </c>
      <c r="C28" s="165">
        <f>IF('Attributes &amp; Paragons'!A28=0,Hidden!U26,Hidden!U26*(1+'Attributes &amp; Paragons'!A28*10%))</f>
        <v>350</v>
      </c>
      <c r="D28" s="36"/>
      <c r="F28" s="36">
        <v>9</v>
      </c>
      <c r="G28">
        <v>180</v>
      </c>
      <c r="H28" s="140">
        <v>900</v>
      </c>
      <c r="N28" s="2"/>
    </row>
    <row r="29" spans="1:14" ht="15.75" thickBot="1" x14ac:dyDescent="0.3">
      <c r="A29" s="184">
        <v>0</v>
      </c>
      <c r="B29" s="52" t="s">
        <v>232</v>
      </c>
      <c r="C29" s="185">
        <f>IF('Attributes &amp; Paragons'!A29=0,Hidden!U27,Hidden!U27*(1+'Attributes &amp; Paragons'!A29*10%))</f>
        <v>242</v>
      </c>
      <c r="D29" s="36"/>
      <c r="F29" s="38">
        <v>10</v>
      </c>
      <c r="G29" s="39">
        <v>200</v>
      </c>
      <c r="H29" s="141">
        <v>1000</v>
      </c>
    </row>
    <row r="31" spans="1:14" x14ac:dyDescent="0.25">
      <c r="A31" s="35" t="s">
        <v>253</v>
      </c>
      <c r="B31" s="35"/>
      <c r="C31" s="35"/>
      <c r="D31" s="35"/>
      <c r="E31" s="35"/>
    </row>
    <row r="32" spans="1:14" x14ac:dyDescent="0.25">
      <c r="B32" s="35" t="s">
        <v>250</v>
      </c>
      <c r="C32" s="35"/>
      <c r="D32" s="35"/>
    </row>
    <row r="33" spans="2:5" x14ac:dyDescent="0.25">
      <c r="B33" s="35" t="s">
        <v>249</v>
      </c>
      <c r="C33" s="35"/>
      <c r="D33" s="35"/>
    </row>
    <row r="34" spans="2:5" x14ac:dyDescent="0.25">
      <c r="C34" s="35" t="s">
        <v>251</v>
      </c>
      <c r="D34" s="35"/>
      <c r="E34" s="35"/>
    </row>
    <row r="35" spans="2:5" x14ac:dyDescent="0.25">
      <c r="B35" s="35" t="s">
        <v>252</v>
      </c>
      <c r="C35" s="35"/>
    </row>
  </sheetData>
  <mergeCells count="1">
    <mergeCell ref="A1:D1"/>
  </mergeCells>
  <dataValidations count="3">
    <dataValidation type="list" allowBlank="1" showInputMessage="1" showErrorMessage="1" sqref="A3:A29">
      <formula1>"0,1,2,3,4,5,6,7,8,9,10,11,12,13,14,15,16,17,18,19,20,21,22,23,24,25,26,27,28,29,30"</formula1>
    </dataValidation>
    <dataValidation type="list" allowBlank="1" showInputMessage="1" showErrorMessage="1" sqref="H11">
      <formula1>"0,1,2,3,4,5,6,7,8,9"</formula1>
    </dataValidation>
    <dataValidation type="list" allowBlank="1" showInputMessage="1" showErrorMessage="1" sqref="H12 L11">
      <formula1>"1,2,3,4,5,6,7,8,9,10"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102"/>
  <sheetViews>
    <sheetView workbookViewId="0">
      <selection activeCell="B21" sqref="B21"/>
    </sheetView>
  </sheetViews>
  <sheetFormatPr defaultRowHeight="15" x14ac:dyDescent="0.25"/>
  <cols>
    <col min="2" max="2" width="20.28515625" bestFit="1" customWidth="1"/>
    <col min="3" max="3" width="10.7109375" bestFit="1" customWidth="1"/>
    <col min="4" max="4" width="9.5703125" customWidth="1"/>
    <col min="5" max="5" width="17.42578125" bestFit="1" customWidth="1"/>
    <col min="6" max="6" width="9.42578125" customWidth="1"/>
    <col min="7" max="7" width="24.28515625" bestFit="1" customWidth="1"/>
    <col min="9" max="9" width="9.5703125" customWidth="1"/>
    <col min="10" max="10" width="19.140625" customWidth="1"/>
    <col min="12" max="12" width="5.7109375" bestFit="1" customWidth="1"/>
    <col min="13" max="13" width="7.7109375" customWidth="1"/>
    <col min="16" max="16" width="11" customWidth="1"/>
    <col min="17" max="17" width="10.140625" customWidth="1"/>
    <col min="18" max="18" width="11" customWidth="1"/>
    <col min="19" max="19" width="10.7109375" customWidth="1"/>
    <col min="20" max="21" width="12.85546875" customWidth="1"/>
    <col min="22" max="22" width="9.140625" bestFit="1" customWidth="1"/>
  </cols>
  <sheetData>
    <row r="1" spans="1:24" ht="15.75" thickBot="1" x14ac:dyDescent="0.3">
      <c r="A1" s="135" t="s">
        <v>326</v>
      </c>
      <c r="B1" s="135" t="s">
        <v>311</v>
      </c>
      <c r="C1" s="135">
        <v>20000</v>
      </c>
      <c r="D1" s="135"/>
      <c r="E1" s="135" t="s">
        <v>394</v>
      </c>
      <c r="F1" s="135"/>
      <c r="G1" s="135" t="s">
        <v>325</v>
      </c>
      <c r="H1" s="135">
        <v>3924</v>
      </c>
      <c r="I1" s="135"/>
      <c r="J1" s="135" t="s">
        <v>394</v>
      </c>
      <c r="K1" s="137"/>
      <c r="L1" s="135" t="s">
        <v>400</v>
      </c>
      <c r="M1" s="135"/>
      <c r="N1" s="135"/>
      <c r="O1" s="135" t="s">
        <v>454</v>
      </c>
      <c r="P1" s="135"/>
      <c r="Q1" s="135"/>
      <c r="R1" s="135" t="s">
        <v>455</v>
      </c>
      <c r="S1" s="135"/>
      <c r="T1" s="39"/>
      <c r="U1" s="39"/>
      <c r="V1" s="135"/>
      <c r="W1" s="135"/>
      <c r="X1" s="135"/>
    </row>
    <row r="2" spans="1:24" x14ac:dyDescent="0.25">
      <c r="B2" t="s">
        <v>325</v>
      </c>
      <c r="C2">
        <f>SUM(H2:H10)</f>
        <v>3924</v>
      </c>
      <c r="E2" s="108">
        <v>0.2</v>
      </c>
      <c r="F2" s="102"/>
      <c r="G2" s="167" t="s">
        <v>54</v>
      </c>
      <c r="H2">
        <v>463</v>
      </c>
      <c r="I2" s="108">
        <f>H2/$H$1</f>
        <v>0.11799184505606523</v>
      </c>
      <c r="J2" s="108">
        <f>1/9</f>
        <v>0.1111111111111111</v>
      </c>
      <c r="K2" s="96"/>
      <c r="L2" s="154" t="s">
        <v>397</v>
      </c>
      <c r="M2" s="163">
        <v>14</v>
      </c>
      <c r="O2" s="152" t="s">
        <v>398</v>
      </c>
      <c r="P2" s="158">
        <f>(5/14)*(4/13)*(3/12)*(2/11)*(1/10)</f>
        <v>4.9950049950049961E-4</v>
      </c>
      <c r="R2" s="152" t="s">
        <v>401</v>
      </c>
      <c r="S2" s="158">
        <f>(1/2002)*(1/9)*(1/5)</f>
        <v>1.11000111000111E-5</v>
      </c>
    </row>
    <row r="3" spans="1:24" x14ac:dyDescent="0.25">
      <c r="F3" s="96"/>
      <c r="G3" s="168" t="s">
        <v>51</v>
      </c>
      <c r="H3">
        <v>452</v>
      </c>
      <c r="I3" s="108">
        <f t="shared" ref="I3:I9" si="0">H3/$H$1</f>
        <v>0.11518858307849134</v>
      </c>
      <c r="J3" s="108">
        <f t="shared" ref="J3:J10" si="1">1/9</f>
        <v>0.1111111111111111</v>
      </c>
      <c r="K3" s="96"/>
      <c r="L3" s="155" t="s">
        <v>395</v>
      </c>
      <c r="M3" s="164">
        <v>15</v>
      </c>
      <c r="O3" s="157" t="s">
        <v>399</v>
      </c>
      <c r="P3" s="162">
        <f>(5/15)*(4/14)*(3/13)*(2/12)*(1/11)</f>
        <v>3.33000333000333E-4</v>
      </c>
      <c r="R3" s="157" t="s">
        <v>402</v>
      </c>
      <c r="S3" s="159">
        <f>(1/3003)*(1/9)*(1/5)</f>
        <v>7.4000074000073997E-6</v>
      </c>
    </row>
    <row r="4" spans="1:24" x14ac:dyDescent="0.25">
      <c r="F4" s="96"/>
      <c r="G4" s="168" t="s">
        <v>0</v>
      </c>
      <c r="H4">
        <v>441</v>
      </c>
      <c r="I4" s="108">
        <f t="shared" si="0"/>
        <v>0.11238532110091744</v>
      </c>
      <c r="J4" s="108">
        <f t="shared" si="1"/>
        <v>0.1111111111111111</v>
      </c>
      <c r="K4" s="96"/>
      <c r="L4" s="155" t="s">
        <v>396</v>
      </c>
      <c r="M4" s="164">
        <v>15</v>
      </c>
      <c r="O4" s="157" t="s">
        <v>399</v>
      </c>
      <c r="P4" s="159">
        <f>(5/15)*(4/14)*(3/13)*(2/12)*(1/11)</f>
        <v>3.33000333000333E-4</v>
      </c>
      <c r="R4" s="157" t="s">
        <v>402</v>
      </c>
      <c r="S4" s="159">
        <f>(1/3003)*(1/9)*(1/5)</f>
        <v>7.4000074000073997E-6</v>
      </c>
    </row>
    <row r="5" spans="1:24" x14ac:dyDescent="0.25">
      <c r="E5" s="191"/>
      <c r="F5" s="96"/>
      <c r="G5" s="168" t="s">
        <v>55</v>
      </c>
      <c r="H5">
        <v>403</v>
      </c>
      <c r="I5" s="108">
        <f t="shared" si="0"/>
        <v>0.1027013251783894</v>
      </c>
      <c r="J5" s="108">
        <f t="shared" si="1"/>
        <v>0.1111111111111111</v>
      </c>
      <c r="K5" s="96"/>
      <c r="L5" s="155" t="s">
        <v>396</v>
      </c>
      <c r="M5" s="164">
        <v>15</v>
      </c>
      <c r="O5" s="157" t="s">
        <v>399</v>
      </c>
      <c r="P5" s="159">
        <f>(5/15)*(4/14)*(3/13)*(2/12)*(1/11)</f>
        <v>3.33000333000333E-4</v>
      </c>
      <c r="R5" s="157" t="s">
        <v>402</v>
      </c>
      <c r="S5" s="159">
        <f>(1/3003)*(1/9)*(1/5)</f>
        <v>7.4000074000073997E-6</v>
      </c>
    </row>
    <row r="6" spans="1:24" x14ac:dyDescent="0.25">
      <c r="F6" s="96"/>
      <c r="G6" s="168" t="s">
        <v>312</v>
      </c>
      <c r="H6">
        <v>420</v>
      </c>
      <c r="I6" s="108">
        <f t="shared" si="0"/>
        <v>0.10703363914373089</v>
      </c>
      <c r="J6" s="108">
        <f t="shared" si="1"/>
        <v>0.1111111111111111</v>
      </c>
      <c r="K6" s="96"/>
      <c r="L6" s="155" t="s">
        <v>396</v>
      </c>
      <c r="M6" s="164">
        <v>15</v>
      </c>
      <c r="O6" s="157" t="s">
        <v>399</v>
      </c>
      <c r="P6" s="159">
        <f>(5/15)*(4/14)*(3/13)*(2/12)*(1/11)</f>
        <v>3.33000333000333E-4</v>
      </c>
      <c r="R6" s="157" t="s">
        <v>402</v>
      </c>
      <c r="S6" s="159">
        <f>(1/3003)*(1/9)*(1/5)</f>
        <v>7.4000074000073997E-6</v>
      </c>
    </row>
    <row r="7" spans="1:24" x14ac:dyDescent="0.25">
      <c r="F7" s="96"/>
      <c r="G7" s="169" t="s">
        <v>50</v>
      </c>
      <c r="H7">
        <v>393</v>
      </c>
      <c r="I7" s="108">
        <f t="shared" si="0"/>
        <v>0.10015290519877676</v>
      </c>
      <c r="J7" s="108">
        <f t="shared" si="1"/>
        <v>0.1111111111111111</v>
      </c>
      <c r="K7" s="96"/>
      <c r="L7" s="156" t="s">
        <v>397</v>
      </c>
      <c r="M7" s="165">
        <v>14</v>
      </c>
      <c r="O7" s="153" t="s">
        <v>398</v>
      </c>
      <c r="P7" s="160">
        <f>(5/14)*(4/13)*(3/12)*(2/11)*(1/10)</f>
        <v>4.9950049950049961E-4</v>
      </c>
      <c r="R7" s="153" t="s">
        <v>401</v>
      </c>
      <c r="S7" s="160">
        <f>(1/2002)*(1/9)*(1/5)</f>
        <v>1.11000111000111E-5</v>
      </c>
    </row>
    <row r="8" spans="1:24" x14ac:dyDescent="0.25">
      <c r="F8" s="96"/>
      <c r="G8" s="168" t="s">
        <v>52</v>
      </c>
      <c r="H8">
        <v>439</v>
      </c>
      <c r="I8" s="108">
        <f t="shared" si="0"/>
        <v>0.1118756371049949</v>
      </c>
      <c r="J8" s="108">
        <f t="shared" si="1"/>
        <v>0.1111111111111111</v>
      </c>
      <c r="K8" s="96"/>
      <c r="L8" s="155" t="s">
        <v>396</v>
      </c>
      <c r="M8" s="164">
        <v>15</v>
      </c>
      <c r="O8" s="157" t="s">
        <v>399</v>
      </c>
      <c r="P8" s="159">
        <f>(5/15)*(4/14)*(3/13)*(2/12)*(1/11)</f>
        <v>3.33000333000333E-4</v>
      </c>
      <c r="R8" s="157" t="s">
        <v>402</v>
      </c>
      <c r="S8" s="159">
        <f>(1/3003)*(1/9)*(1/5)</f>
        <v>7.4000074000073997E-6</v>
      </c>
    </row>
    <row r="9" spans="1:24" x14ac:dyDescent="0.25">
      <c r="F9" s="96"/>
      <c r="G9" s="169" t="s">
        <v>53</v>
      </c>
      <c r="H9">
        <v>445</v>
      </c>
      <c r="I9" s="108">
        <f t="shared" si="0"/>
        <v>0.11340468909276248</v>
      </c>
      <c r="J9" s="108">
        <f t="shared" si="1"/>
        <v>0.1111111111111111</v>
      </c>
      <c r="K9" s="96"/>
      <c r="L9" s="156" t="s">
        <v>397</v>
      </c>
      <c r="M9" s="165">
        <v>14</v>
      </c>
      <c r="O9" s="153" t="s">
        <v>398</v>
      </c>
      <c r="P9" s="160">
        <f>(5/14)*(4/13)*(3/12)*(2/11)*(1/10)</f>
        <v>4.9950049950049961E-4</v>
      </c>
      <c r="R9" s="153" t="s">
        <v>401</v>
      </c>
      <c r="S9" s="160">
        <f>(1/2002)*(1/9)*(1/5)</f>
        <v>1.11000111000111E-5</v>
      </c>
    </row>
    <row r="10" spans="1:24" x14ac:dyDescent="0.25">
      <c r="F10" s="96"/>
      <c r="G10" s="170" t="s">
        <v>48</v>
      </c>
      <c r="H10">
        <v>468</v>
      </c>
      <c r="I10" s="108">
        <f>H10/$H$1</f>
        <v>0.11926605504587157</v>
      </c>
      <c r="J10" s="108">
        <f t="shared" si="1"/>
        <v>0.1111111111111111</v>
      </c>
      <c r="K10" s="96"/>
      <c r="L10" s="149" t="s">
        <v>396</v>
      </c>
      <c r="M10" s="166">
        <v>15</v>
      </c>
      <c r="O10" s="150" t="s">
        <v>399</v>
      </c>
      <c r="P10" s="161">
        <f>(5/15)*(4/14)*(3/13)*(2/12)*(1/11)</f>
        <v>3.33000333000333E-4</v>
      </c>
      <c r="R10" s="150" t="s">
        <v>402</v>
      </c>
      <c r="S10" s="161">
        <f>(1/3003)*(1/9)*(1/5)</f>
        <v>7.4000074000073997E-6</v>
      </c>
    </row>
    <row r="11" spans="1:24" x14ac:dyDescent="0.25">
      <c r="A11" s="25"/>
      <c r="B11" s="25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</row>
    <row r="12" spans="1:24" ht="15.75" thickBot="1" x14ac:dyDescent="0.3">
      <c r="A12" s="135" t="s">
        <v>326</v>
      </c>
      <c r="B12" s="135" t="s">
        <v>311</v>
      </c>
      <c r="C12" s="135">
        <v>20000</v>
      </c>
      <c r="D12" s="135"/>
      <c r="E12" s="135" t="s">
        <v>394</v>
      </c>
      <c r="F12" s="137"/>
      <c r="G12" s="137" t="s">
        <v>404</v>
      </c>
      <c r="H12" s="135"/>
      <c r="I12" s="240" t="s">
        <v>410</v>
      </c>
      <c r="J12" s="240"/>
      <c r="K12" s="135"/>
      <c r="L12" s="240" t="s">
        <v>407</v>
      </c>
      <c r="M12" s="240"/>
      <c r="N12" s="240"/>
      <c r="O12" s="240"/>
      <c r="P12" s="135"/>
      <c r="Q12" s="240" t="s">
        <v>409</v>
      </c>
      <c r="R12" s="240"/>
      <c r="S12" s="240"/>
    </row>
    <row r="13" spans="1:24" x14ac:dyDescent="0.25">
      <c r="B13" t="s">
        <v>403</v>
      </c>
      <c r="C13">
        <v>209</v>
      </c>
      <c r="E13" s="189">
        <v>0.01</v>
      </c>
      <c r="F13" s="102"/>
      <c r="G13" s="190" t="s">
        <v>405</v>
      </c>
      <c r="I13" s="198" t="s">
        <v>519</v>
      </c>
      <c r="J13" s="192">
        <f>(2/46)+(2/45)</f>
        <v>8.7922705314009669E-2</v>
      </c>
      <c r="K13" s="191"/>
      <c r="L13" s="198" t="s">
        <v>521</v>
      </c>
      <c r="M13" s="198"/>
      <c r="N13" s="191"/>
      <c r="O13" s="192">
        <f>(1/46)+(1/45)</f>
        <v>4.3961352657004835E-2</v>
      </c>
      <c r="Q13" t="s">
        <v>523</v>
      </c>
      <c r="S13" s="193">
        <f>(1/46)*(1/45)</f>
        <v>4.8309178743961351E-4</v>
      </c>
    </row>
    <row r="14" spans="1:24" x14ac:dyDescent="0.25">
      <c r="D14" s="199"/>
      <c r="E14" s="199"/>
      <c r="F14" s="96"/>
      <c r="G14" s="190" t="s">
        <v>406</v>
      </c>
      <c r="I14" s="191"/>
      <c r="J14" s="191"/>
      <c r="K14" s="191"/>
      <c r="L14" s="191"/>
      <c r="M14" s="191"/>
      <c r="N14" s="191"/>
      <c r="O14" s="191"/>
    </row>
    <row r="15" spans="1:24" ht="15.75" thickBot="1" x14ac:dyDescent="0.3">
      <c r="B15" s="197"/>
      <c r="C15" s="133"/>
      <c r="D15" s="133"/>
      <c r="E15" s="133"/>
      <c r="F15" s="133"/>
      <c r="G15" s="190" t="s">
        <v>536</v>
      </c>
      <c r="I15" s="241" t="s">
        <v>411</v>
      </c>
      <c r="J15" s="241"/>
      <c r="K15" s="194"/>
      <c r="L15" s="241" t="s">
        <v>411</v>
      </c>
      <c r="M15" s="241"/>
      <c r="N15" s="241"/>
      <c r="O15" s="241"/>
      <c r="P15" s="135"/>
      <c r="Q15" s="240" t="s">
        <v>411</v>
      </c>
      <c r="R15" s="240"/>
      <c r="S15" s="240"/>
    </row>
    <row r="16" spans="1:24" x14ac:dyDescent="0.25">
      <c r="B16" s="95"/>
      <c r="C16" s="199"/>
      <c r="D16" s="200"/>
      <c r="E16" s="199"/>
      <c r="F16" s="199"/>
      <c r="G16" s="202" t="s">
        <v>525</v>
      </c>
      <c r="I16" s="198" t="s">
        <v>520</v>
      </c>
      <c r="J16" s="195">
        <f>(1/100)*J13</f>
        <v>8.7922705314009671E-4</v>
      </c>
      <c r="K16" s="191"/>
      <c r="L16" s="198" t="s">
        <v>522</v>
      </c>
      <c r="M16" s="198"/>
      <c r="N16" s="191"/>
      <c r="O16" s="195">
        <f>(1/100)*O13</f>
        <v>4.3961352657004835E-4</v>
      </c>
      <c r="Q16" t="s">
        <v>524</v>
      </c>
      <c r="S16" s="196">
        <f>(1/100)*S13</f>
        <v>4.8309178743961353E-6</v>
      </c>
    </row>
    <row r="17" spans="1:24" x14ac:dyDescent="0.25">
      <c r="A17" s="25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</row>
    <row r="18" spans="1:24" ht="15.75" thickBot="1" x14ac:dyDescent="0.3">
      <c r="A18" s="135" t="s">
        <v>422</v>
      </c>
      <c r="B18" s="135" t="s">
        <v>420</v>
      </c>
      <c r="C18" s="135"/>
      <c r="D18" s="135" t="s">
        <v>421</v>
      </c>
      <c r="E18" s="135"/>
      <c r="F18" s="172" t="s">
        <v>459</v>
      </c>
      <c r="G18" s="135"/>
      <c r="H18" s="241" t="s">
        <v>456</v>
      </c>
      <c r="I18" s="241"/>
      <c r="J18" s="135"/>
      <c r="K18" s="239" t="s">
        <v>457</v>
      </c>
      <c r="L18" s="239"/>
      <c r="M18" s="239"/>
      <c r="N18" s="135"/>
      <c r="O18" s="135"/>
      <c r="P18" s="239" t="s">
        <v>458</v>
      </c>
      <c r="Q18" s="239"/>
      <c r="R18" s="135"/>
      <c r="S18" s="135"/>
      <c r="T18" s="239" t="s">
        <v>423</v>
      </c>
      <c r="U18" s="239"/>
    </row>
    <row r="19" spans="1:24" x14ac:dyDescent="0.25">
      <c r="A19" s="1">
        <v>1.21</v>
      </c>
      <c r="B19" t="s">
        <v>12</v>
      </c>
      <c r="D19" t="s">
        <v>413</v>
      </c>
      <c r="F19" s="151">
        <v>2</v>
      </c>
      <c r="H19" t="s">
        <v>424</v>
      </c>
      <c r="I19" s="147">
        <f>1/11</f>
        <v>9.0909090909090912E-2</v>
      </c>
      <c r="K19" t="s">
        <v>425</v>
      </c>
      <c r="L19" s="251">
        <f>(2/22)*(1/21)</f>
        <v>4.329004329004329E-3</v>
      </c>
      <c r="M19" s="252"/>
      <c r="P19" s="142" t="s">
        <v>56</v>
      </c>
      <c r="Q19" s="143" t="s">
        <v>56</v>
      </c>
      <c r="T19" s="142" t="s">
        <v>56</v>
      </c>
      <c r="U19" s="144" t="s">
        <v>56</v>
      </c>
    </row>
    <row r="20" spans="1:24" x14ac:dyDescent="0.25">
      <c r="A20" s="1">
        <v>2.42</v>
      </c>
      <c r="B20" t="s">
        <v>15</v>
      </c>
      <c r="D20" s="133" t="s">
        <v>414</v>
      </c>
      <c r="E20" s="133"/>
      <c r="F20" s="242">
        <v>4</v>
      </c>
      <c r="G20" s="133"/>
      <c r="H20" s="245" t="s">
        <v>537</v>
      </c>
      <c r="I20" s="248">
        <f>2/11</f>
        <v>0.18181818181818182</v>
      </c>
      <c r="J20" s="133"/>
      <c r="K20" s="245" t="s">
        <v>539</v>
      </c>
      <c r="L20" s="217">
        <f>(4/22)*(3/21)</f>
        <v>2.5974025974025972E-2</v>
      </c>
      <c r="M20" s="218"/>
      <c r="N20" s="133"/>
      <c r="O20" s="133"/>
      <c r="P20" s="223" t="s">
        <v>426</v>
      </c>
      <c r="Q20" s="226">
        <f>(4/22)*(3/21)*(2/20)*(1/19)</f>
        <v>1.3670539986329459E-4</v>
      </c>
      <c r="R20" s="134"/>
      <c r="S20" s="133"/>
      <c r="T20" s="229" t="s">
        <v>56</v>
      </c>
      <c r="U20" s="212" t="s">
        <v>56</v>
      </c>
    </row>
    <row r="21" spans="1:24" x14ac:dyDescent="0.25">
      <c r="A21" s="1">
        <v>2.42</v>
      </c>
      <c r="B21" t="s">
        <v>16</v>
      </c>
      <c r="D21" t="s">
        <v>412</v>
      </c>
      <c r="F21" s="243"/>
      <c r="H21" s="246"/>
      <c r="I21" s="249"/>
      <c r="K21" s="246"/>
      <c r="L21" s="219"/>
      <c r="M21" s="220"/>
      <c r="P21" s="224"/>
      <c r="Q21" s="227"/>
      <c r="R21" s="131"/>
      <c r="T21" s="230"/>
      <c r="U21" s="213"/>
    </row>
    <row r="22" spans="1:24" x14ac:dyDescent="0.25">
      <c r="A22" s="1">
        <v>2.42</v>
      </c>
      <c r="B22" t="s">
        <v>17</v>
      </c>
      <c r="D22" s="123" t="s">
        <v>415</v>
      </c>
      <c r="E22" s="123"/>
      <c r="F22" s="244"/>
      <c r="G22" s="123"/>
      <c r="H22" s="247"/>
      <c r="I22" s="250"/>
      <c r="J22" s="123"/>
      <c r="K22" s="247"/>
      <c r="L22" s="221"/>
      <c r="M22" s="222"/>
      <c r="N22" s="123"/>
      <c r="O22" s="123"/>
      <c r="P22" s="225"/>
      <c r="Q22" s="228"/>
      <c r="R22" s="132"/>
      <c r="S22" s="123"/>
      <c r="T22" s="231"/>
      <c r="U22" s="214"/>
    </row>
    <row r="23" spans="1:24" x14ac:dyDescent="0.25">
      <c r="A23" s="1">
        <v>2.42</v>
      </c>
      <c r="B23" t="s">
        <v>34</v>
      </c>
      <c r="D23" t="s">
        <v>419</v>
      </c>
      <c r="F23" s="151">
        <v>6</v>
      </c>
      <c r="H23" s="198" t="s">
        <v>538</v>
      </c>
      <c r="I23" s="148">
        <f>3/11</f>
        <v>0.27272727272727271</v>
      </c>
      <c r="K23" s="198" t="s">
        <v>540</v>
      </c>
      <c r="L23" s="215">
        <f>(6/22)*(5/21)</f>
        <v>6.4935064935064929E-2</v>
      </c>
      <c r="M23" s="216"/>
      <c r="P23" s="198" t="s">
        <v>541</v>
      </c>
      <c r="Q23" s="146">
        <f>(6/22)*(5/21)*(4/20)*(3/19)</f>
        <v>2.0505809979494186E-3</v>
      </c>
      <c r="T23" t="s">
        <v>427</v>
      </c>
      <c r="U23" s="145">
        <f>(6/22)*(5/21)*(4/20)*(3/19)*(2/18)*(1/17)</f>
        <v>1.3402490182675937E-5</v>
      </c>
    </row>
    <row r="24" spans="1:24" x14ac:dyDescent="0.25">
      <c r="A24" s="1">
        <v>2.42</v>
      </c>
      <c r="B24" t="s">
        <v>18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</row>
    <row r="25" spans="1:24" ht="15" customHeight="1" x14ac:dyDescent="0.25">
      <c r="A25" s="1">
        <v>2.42</v>
      </c>
      <c r="B25" t="s">
        <v>35</v>
      </c>
      <c r="C25" s="25"/>
      <c r="D25" s="123" t="s">
        <v>436</v>
      </c>
      <c r="E25" s="123"/>
      <c r="F25" s="123"/>
      <c r="G25" s="123"/>
      <c r="H25" s="123"/>
      <c r="I25" s="41" t="s">
        <v>437</v>
      </c>
      <c r="J25" s="173"/>
      <c r="K25" s="173"/>
      <c r="L25" s="173"/>
    </row>
    <row r="26" spans="1:24" x14ac:dyDescent="0.25">
      <c r="A26" s="1">
        <v>0.02</v>
      </c>
      <c r="B26" t="s">
        <v>20</v>
      </c>
      <c r="C26" s="25"/>
      <c r="D26" s="19" t="s">
        <v>438</v>
      </c>
      <c r="E26" s="19"/>
      <c r="F26" s="19"/>
      <c r="G26" s="19"/>
      <c r="H26" s="19"/>
      <c r="I26" s="41" t="s">
        <v>408</v>
      </c>
      <c r="J26" s="173"/>
      <c r="K26" s="173"/>
      <c r="L26" s="173"/>
    </row>
    <row r="27" spans="1:24" x14ac:dyDescent="0.25">
      <c r="A27" s="110">
        <v>605</v>
      </c>
      <c r="B27" t="s">
        <v>7</v>
      </c>
      <c r="C27" s="25"/>
      <c r="D27" s="19" t="s">
        <v>442</v>
      </c>
      <c r="E27" s="19"/>
      <c r="F27" s="19"/>
      <c r="G27" s="19"/>
      <c r="H27" s="19"/>
      <c r="I27" s="41" t="s">
        <v>439</v>
      </c>
      <c r="J27" s="173"/>
      <c r="K27" s="198"/>
      <c r="L27" s="173"/>
    </row>
    <row r="28" spans="1:24" x14ac:dyDescent="0.25">
      <c r="A28" s="110">
        <v>301</v>
      </c>
      <c r="B28" t="s">
        <v>225</v>
      </c>
      <c r="C28" s="25"/>
      <c r="D28" s="123" t="s">
        <v>440</v>
      </c>
      <c r="E28" s="123"/>
      <c r="F28" s="123"/>
      <c r="G28" s="123"/>
      <c r="H28" s="136"/>
      <c r="I28" s="171" t="s">
        <v>441</v>
      </c>
      <c r="J28" s="173"/>
      <c r="K28" s="173"/>
      <c r="L28" s="173"/>
    </row>
    <row r="29" spans="1:24" ht="15" customHeight="1" x14ac:dyDescent="0.25">
      <c r="A29" s="110">
        <v>75</v>
      </c>
      <c r="B29" t="s">
        <v>230</v>
      </c>
      <c r="C29" s="25"/>
      <c r="D29" s="233" t="s">
        <v>518</v>
      </c>
      <c r="E29" s="234"/>
      <c r="F29" s="234"/>
      <c r="G29" s="235"/>
    </row>
    <row r="30" spans="1:24" x14ac:dyDescent="0.25">
      <c r="A30" s="110">
        <v>75</v>
      </c>
      <c r="B30" t="s">
        <v>227</v>
      </c>
      <c r="C30" s="25"/>
      <c r="D30" s="236"/>
      <c r="E30" s="237"/>
      <c r="F30" s="237"/>
      <c r="G30" s="238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</row>
    <row r="31" spans="1:24" x14ac:dyDescent="0.25">
      <c r="A31" s="110">
        <v>75</v>
      </c>
      <c r="B31" t="s">
        <v>233</v>
      </c>
      <c r="C31" s="25"/>
      <c r="I31" s="25"/>
      <c r="J31" t="s">
        <v>445</v>
      </c>
      <c r="R31" t="s">
        <v>444</v>
      </c>
      <c r="V31" s="25"/>
    </row>
    <row r="32" spans="1:24" x14ac:dyDescent="0.25">
      <c r="A32" s="110">
        <v>110</v>
      </c>
      <c r="B32" t="s">
        <v>228</v>
      </c>
      <c r="C32" s="25"/>
      <c r="G32" s="109"/>
      <c r="I32" s="25"/>
      <c r="K32" s="3" t="s">
        <v>446</v>
      </c>
      <c r="L32" s="232">
        <v>10000</v>
      </c>
      <c r="M32" s="232"/>
      <c r="S32" s="3" t="s">
        <v>446</v>
      </c>
      <c r="T32">
        <v>10</v>
      </c>
      <c r="V32" s="25"/>
    </row>
    <row r="33" spans="1:25" x14ac:dyDescent="0.25">
      <c r="A33" s="110">
        <v>175</v>
      </c>
      <c r="B33" t="s">
        <v>234</v>
      </c>
      <c r="C33" s="25"/>
      <c r="I33" s="25"/>
      <c r="K33" s="3" t="s">
        <v>447</v>
      </c>
      <c r="L33" s="210">
        <v>2.0000000000000001E-4</v>
      </c>
      <c r="M33" s="210"/>
      <c r="S33" s="3" t="s">
        <v>447</v>
      </c>
      <c r="T33" s="120">
        <v>0.123456789</v>
      </c>
      <c r="V33" s="25"/>
    </row>
    <row r="34" spans="1:25" x14ac:dyDescent="0.25">
      <c r="A34" s="110">
        <v>175</v>
      </c>
      <c r="B34" t="s">
        <v>229</v>
      </c>
      <c r="C34" s="25"/>
      <c r="I34" s="25"/>
      <c r="K34" s="3" t="s">
        <v>448</v>
      </c>
      <c r="L34" s="211">
        <f>SUM(Hidden!AL104:AL203)</f>
        <v>0.86469178472227015</v>
      </c>
      <c r="M34" s="211"/>
      <c r="S34" s="3" t="s">
        <v>448</v>
      </c>
      <c r="T34" s="120">
        <v>0.73224764214029237</v>
      </c>
      <c r="V34" s="25"/>
    </row>
    <row r="35" spans="1:25" x14ac:dyDescent="0.25">
      <c r="A35" s="110">
        <v>175</v>
      </c>
      <c r="B35" t="s">
        <v>226</v>
      </c>
      <c r="C35" s="25"/>
      <c r="I35" s="25"/>
      <c r="J35" s="25"/>
      <c r="K35" s="25"/>
      <c r="L35" s="25"/>
      <c r="M35" s="25"/>
      <c r="N35" s="25"/>
      <c r="O35" s="25"/>
      <c r="P35" s="25"/>
      <c r="Q35" s="25"/>
      <c r="R35" s="25"/>
      <c r="S35" s="25"/>
      <c r="T35" s="25"/>
      <c r="U35" s="25"/>
      <c r="V35" s="25"/>
    </row>
    <row r="36" spans="1:25" x14ac:dyDescent="0.25">
      <c r="A36" s="110">
        <v>175</v>
      </c>
      <c r="B36" t="s">
        <v>231</v>
      </c>
      <c r="C36" s="25"/>
    </row>
    <row r="37" spans="1:25" x14ac:dyDescent="0.25">
      <c r="A37" s="110">
        <v>121</v>
      </c>
      <c r="B37" t="s">
        <v>232</v>
      </c>
      <c r="C37" s="25"/>
      <c r="G37" s="201"/>
    </row>
    <row r="38" spans="1:25" x14ac:dyDescent="0.25">
      <c r="A38" s="94">
        <v>3.2000000000000001E-2</v>
      </c>
      <c r="B38" t="s">
        <v>416</v>
      </c>
      <c r="C38" s="25"/>
    </row>
    <row r="39" spans="1:25" x14ac:dyDescent="0.25">
      <c r="A39" s="94">
        <v>3.2000000000000001E-2</v>
      </c>
      <c r="B39" t="s">
        <v>418</v>
      </c>
      <c r="C39" s="25"/>
      <c r="D39" s="3"/>
      <c r="E39" s="121"/>
    </row>
    <row r="40" spans="1:25" x14ac:dyDescent="0.25">
      <c r="A40" s="94">
        <v>3.2000000000000001E-2</v>
      </c>
      <c r="B40" t="s">
        <v>417</v>
      </c>
      <c r="C40" s="25"/>
    </row>
    <row r="41" spans="1:25" x14ac:dyDescent="0.25">
      <c r="A41" s="25"/>
      <c r="B41" s="25"/>
      <c r="C41" s="25"/>
      <c r="D41" s="25"/>
      <c r="E41" s="25"/>
      <c r="F41" s="25"/>
      <c r="G41" s="25"/>
      <c r="H41" s="25"/>
      <c r="I41" s="25"/>
      <c r="J41" s="25"/>
      <c r="K41" s="25"/>
      <c r="L41" s="25"/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25"/>
      <c r="Y41" s="25"/>
    </row>
    <row r="42" spans="1:25" x14ac:dyDescent="0.25">
      <c r="A42" s="25"/>
      <c r="B42" t="s">
        <v>531</v>
      </c>
      <c r="C42" t="s">
        <v>532</v>
      </c>
      <c r="D42" t="s">
        <v>533</v>
      </c>
      <c r="E42" s="203" t="s">
        <v>534</v>
      </c>
      <c r="F42" s="25"/>
    </row>
    <row r="43" spans="1:25" x14ac:dyDescent="0.25">
      <c r="A43" s="25"/>
      <c r="B43" s="3" t="s">
        <v>467</v>
      </c>
      <c r="C43" s="151">
        <v>43</v>
      </c>
      <c r="D43" s="106">
        <f t="shared" ref="D43:D88" si="2">C43/($C$89*2)</f>
        <v>2.1499999999999998E-2</v>
      </c>
      <c r="E43" s="151">
        <f t="shared" ref="E43:E88" si="3">($C$89*2)/46</f>
        <v>43.478260869565219</v>
      </c>
      <c r="F43" s="25"/>
    </row>
    <row r="44" spans="1:25" x14ac:dyDescent="0.25">
      <c r="A44" s="25"/>
      <c r="B44" s="3" t="s">
        <v>468</v>
      </c>
      <c r="C44" s="151">
        <v>39</v>
      </c>
      <c r="D44" s="106">
        <f t="shared" si="2"/>
        <v>1.95E-2</v>
      </c>
      <c r="E44" s="151">
        <f t="shared" si="3"/>
        <v>43.478260869565219</v>
      </c>
      <c r="F44" s="25"/>
    </row>
    <row r="45" spans="1:25" x14ac:dyDescent="0.25">
      <c r="A45" s="25"/>
      <c r="B45" s="3" t="s">
        <v>469</v>
      </c>
      <c r="C45" s="151">
        <v>43</v>
      </c>
      <c r="D45" s="106">
        <f t="shared" si="2"/>
        <v>2.1499999999999998E-2</v>
      </c>
      <c r="E45" s="151">
        <f t="shared" si="3"/>
        <v>43.478260869565219</v>
      </c>
      <c r="F45" s="25"/>
    </row>
    <row r="46" spans="1:25" x14ac:dyDescent="0.25">
      <c r="A46" s="25"/>
      <c r="B46" s="3" t="s">
        <v>471</v>
      </c>
      <c r="C46" s="151">
        <v>39</v>
      </c>
      <c r="D46" s="106">
        <f t="shared" si="2"/>
        <v>1.95E-2</v>
      </c>
      <c r="E46" s="151">
        <f t="shared" si="3"/>
        <v>43.478260869565219</v>
      </c>
      <c r="F46" s="25"/>
    </row>
    <row r="47" spans="1:25" x14ac:dyDescent="0.25">
      <c r="A47" s="25"/>
      <c r="B47" s="3" t="s">
        <v>472</v>
      </c>
      <c r="C47" s="151">
        <v>36</v>
      </c>
      <c r="D47" s="106">
        <f t="shared" si="2"/>
        <v>1.7999999999999999E-2</v>
      </c>
      <c r="E47" s="151">
        <f t="shared" si="3"/>
        <v>43.478260869565219</v>
      </c>
      <c r="F47" s="25"/>
    </row>
    <row r="48" spans="1:25" x14ac:dyDescent="0.25">
      <c r="A48" s="25"/>
      <c r="B48" s="3" t="s">
        <v>473</v>
      </c>
      <c r="C48" s="151">
        <v>41</v>
      </c>
      <c r="D48" s="106">
        <f t="shared" si="2"/>
        <v>2.0500000000000001E-2</v>
      </c>
      <c r="E48" s="151">
        <f t="shared" si="3"/>
        <v>43.478260869565219</v>
      </c>
      <c r="F48" s="25"/>
    </row>
    <row r="49" spans="1:6" x14ac:dyDescent="0.25">
      <c r="A49" s="25"/>
      <c r="B49" s="3" t="s">
        <v>474</v>
      </c>
      <c r="C49" s="151">
        <v>39</v>
      </c>
      <c r="D49" s="106">
        <f t="shared" si="2"/>
        <v>1.95E-2</v>
      </c>
      <c r="E49" s="151">
        <f t="shared" si="3"/>
        <v>43.478260869565219</v>
      </c>
      <c r="F49" s="25"/>
    </row>
    <row r="50" spans="1:6" x14ac:dyDescent="0.25">
      <c r="A50" s="25"/>
      <c r="B50" s="3" t="s">
        <v>476</v>
      </c>
      <c r="C50" s="151">
        <v>45</v>
      </c>
      <c r="D50" s="106">
        <f t="shared" si="2"/>
        <v>2.2499999999999999E-2</v>
      </c>
      <c r="E50" s="151">
        <f t="shared" si="3"/>
        <v>43.478260869565219</v>
      </c>
      <c r="F50" s="25"/>
    </row>
    <row r="51" spans="1:6" x14ac:dyDescent="0.25">
      <c r="A51" s="25"/>
      <c r="B51" s="3" t="s">
        <v>477</v>
      </c>
      <c r="C51" s="151">
        <v>44</v>
      </c>
      <c r="D51" s="106">
        <f t="shared" si="2"/>
        <v>2.1999999999999999E-2</v>
      </c>
      <c r="E51" s="151">
        <f t="shared" si="3"/>
        <v>43.478260869565219</v>
      </c>
      <c r="F51" s="25"/>
    </row>
    <row r="52" spans="1:6" x14ac:dyDescent="0.25">
      <c r="A52" s="25"/>
      <c r="B52" s="3" t="s">
        <v>478</v>
      </c>
      <c r="C52" s="151">
        <v>42</v>
      </c>
      <c r="D52" s="106">
        <f t="shared" si="2"/>
        <v>2.1000000000000001E-2</v>
      </c>
      <c r="E52" s="151">
        <f t="shared" si="3"/>
        <v>43.478260869565219</v>
      </c>
      <c r="F52" s="25"/>
    </row>
    <row r="53" spans="1:6" x14ac:dyDescent="0.25">
      <c r="A53" s="25"/>
      <c r="B53" s="3" t="s">
        <v>479</v>
      </c>
      <c r="C53" s="151">
        <v>44</v>
      </c>
      <c r="D53" s="106">
        <f t="shared" si="2"/>
        <v>2.1999999999999999E-2</v>
      </c>
      <c r="E53" s="151">
        <f t="shared" si="3"/>
        <v>43.478260869565219</v>
      </c>
      <c r="F53" s="25"/>
    </row>
    <row r="54" spans="1:6" x14ac:dyDescent="0.25">
      <c r="A54" s="25"/>
      <c r="B54" s="3" t="s">
        <v>480</v>
      </c>
      <c r="C54" s="151">
        <v>34</v>
      </c>
      <c r="D54" s="106">
        <f t="shared" si="2"/>
        <v>1.7000000000000001E-2</v>
      </c>
      <c r="E54" s="151">
        <f t="shared" si="3"/>
        <v>43.478260869565219</v>
      </c>
      <c r="F54" s="25"/>
    </row>
    <row r="55" spans="1:6" x14ac:dyDescent="0.25">
      <c r="A55" s="25"/>
      <c r="B55" s="3" t="s">
        <v>481</v>
      </c>
      <c r="C55" s="151">
        <v>57</v>
      </c>
      <c r="D55" s="106">
        <f t="shared" si="2"/>
        <v>2.8500000000000001E-2</v>
      </c>
      <c r="E55" s="151">
        <f t="shared" si="3"/>
        <v>43.478260869565219</v>
      </c>
      <c r="F55" s="25"/>
    </row>
    <row r="56" spans="1:6" x14ac:dyDescent="0.25">
      <c r="A56" s="25"/>
      <c r="B56" s="3" t="s">
        <v>482</v>
      </c>
      <c r="C56" s="151">
        <v>47</v>
      </c>
      <c r="D56" s="106">
        <f t="shared" si="2"/>
        <v>2.35E-2</v>
      </c>
      <c r="E56" s="151">
        <f t="shared" si="3"/>
        <v>43.478260869565219</v>
      </c>
      <c r="F56" s="25"/>
    </row>
    <row r="57" spans="1:6" x14ac:dyDescent="0.25">
      <c r="A57" s="25"/>
      <c r="B57" s="3" t="s">
        <v>483</v>
      </c>
      <c r="C57" s="151">
        <v>42</v>
      </c>
      <c r="D57" s="106">
        <f t="shared" si="2"/>
        <v>2.1000000000000001E-2</v>
      </c>
      <c r="E57" s="151">
        <f t="shared" si="3"/>
        <v>43.478260869565219</v>
      </c>
      <c r="F57" s="25"/>
    </row>
    <row r="58" spans="1:6" x14ac:dyDescent="0.25">
      <c r="A58" s="25"/>
      <c r="B58" s="3" t="s">
        <v>484</v>
      </c>
      <c r="C58" s="151">
        <v>38</v>
      </c>
      <c r="D58" s="106">
        <f t="shared" si="2"/>
        <v>1.9E-2</v>
      </c>
      <c r="E58" s="151">
        <f t="shared" si="3"/>
        <v>43.478260869565219</v>
      </c>
      <c r="F58" s="25"/>
    </row>
    <row r="59" spans="1:6" x14ac:dyDescent="0.25">
      <c r="A59" s="25"/>
      <c r="B59" s="3" t="s">
        <v>485</v>
      </c>
      <c r="C59" s="151">
        <v>36</v>
      </c>
      <c r="D59" s="106">
        <f t="shared" si="2"/>
        <v>1.7999999999999999E-2</v>
      </c>
      <c r="E59" s="151">
        <f t="shared" si="3"/>
        <v>43.478260869565219</v>
      </c>
      <c r="F59" s="25"/>
    </row>
    <row r="60" spans="1:6" x14ac:dyDescent="0.25">
      <c r="A60" s="25"/>
      <c r="B60" s="3" t="s">
        <v>486</v>
      </c>
      <c r="C60" s="151">
        <v>49</v>
      </c>
      <c r="D60" s="106">
        <f t="shared" si="2"/>
        <v>2.4500000000000001E-2</v>
      </c>
      <c r="E60" s="151">
        <f t="shared" si="3"/>
        <v>43.478260869565219</v>
      </c>
      <c r="F60" s="25"/>
    </row>
    <row r="61" spans="1:6" x14ac:dyDescent="0.25">
      <c r="A61" s="25"/>
      <c r="B61" s="3" t="s">
        <v>487</v>
      </c>
      <c r="C61" s="151">
        <v>43</v>
      </c>
      <c r="D61" s="106">
        <f t="shared" si="2"/>
        <v>2.1499999999999998E-2</v>
      </c>
      <c r="E61" s="151">
        <f t="shared" si="3"/>
        <v>43.478260869565219</v>
      </c>
      <c r="F61" s="25"/>
    </row>
    <row r="62" spans="1:6" x14ac:dyDescent="0.25">
      <c r="A62" s="25"/>
      <c r="B62" s="3" t="s">
        <v>488</v>
      </c>
      <c r="C62" s="151">
        <v>46</v>
      </c>
      <c r="D62" s="106">
        <f t="shared" si="2"/>
        <v>2.3E-2</v>
      </c>
      <c r="E62" s="151">
        <f t="shared" si="3"/>
        <v>43.478260869565219</v>
      </c>
      <c r="F62" s="25"/>
    </row>
    <row r="63" spans="1:6" x14ac:dyDescent="0.25">
      <c r="A63" s="25"/>
      <c r="B63" s="3" t="s">
        <v>489</v>
      </c>
      <c r="C63" s="151">
        <v>36</v>
      </c>
      <c r="D63" s="106">
        <f t="shared" si="2"/>
        <v>1.7999999999999999E-2</v>
      </c>
      <c r="E63" s="151">
        <f t="shared" si="3"/>
        <v>43.478260869565219</v>
      </c>
      <c r="F63" s="25"/>
    </row>
    <row r="64" spans="1:6" x14ac:dyDescent="0.25">
      <c r="A64" s="25"/>
      <c r="B64" s="3" t="s">
        <v>490</v>
      </c>
      <c r="C64" s="151">
        <v>45</v>
      </c>
      <c r="D64" s="106">
        <f t="shared" si="2"/>
        <v>2.2499999999999999E-2</v>
      </c>
      <c r="E64" s="151">
        <f t="shared" si="3"/>
        <v>43.478260869565219</v>
      </c>
      <c r="F64" s="25"/>
    </row>
    <row r="65" spans="1:6" x14ac:dyDescent="0.25">
      <c r="A65" s="25"/>
      <c r="B65" s="3" t="s">
        <v>491</v>
      </c>
      <c r="C65" s="151">
        <v>43</v>
      </c>
      <c r="D65" s="106">
        <f t="shared" si="2"/>
        <v>2.1499999999999998E-2</v>
      </c>
      <c r="E65" s="151">
        <f t="shared" si="3"/>
        <v>43.478260869565219</v>
      </c>
      <c r="F65" s="25"/>
    </row>
    <row r="66" spans="1:6" x14ac:dyDescent="0.25">
      <c r="A66" s="25"/>
      <c r="B66" s="3" t="s">
        <v>492</v>
      </c>
      <c r="C66" s="151">
        <v>33</v>
      </c>
      <c r="D66" s="106">
        <f t="shared" si="2"/>
        <v>1.6500000000000001E-2</v>
      </c>
      <c r="E66" s="151">
        <f t="shared" si="3"/>
        <v>43.478260869565219</v>
      </c>
      <c r="F66" s="25"/>
    </row>
    <row r="67" spans="1:6" x14ac:dyDescent="0.25">
      <c r="A67" s="25"/>
      <c r="B67" s="3" t="s">
        <v>493</v>
      </c>
      <c r="C67" s="151">
        <v>47</v>
      </c>
      <c r="D67" s="106">
        <f t="shared" si="2"/>
        <v>2.35E-2</v>
      </c>
      <c r="E67" s="151">
        <f t="shared" si="3"/>
        <v>43.478260869565219</v>
      </c>
      <c r="F67" s="25"/>
    </row>
    <row r="68" spans="1:6" x14ac:dyDescent="0.25">
      <c r="A68" s="25"/>
      <c r="B68" s="3" t="s">
        <v>494</v>
      </c>
      <c r="C68" s="151">
        <v>50</v>
      </c>
      <c r="D68" s="106">
        <f t="shared" si="2"/>
        <v>2.5000000000000001E-2</v>
      </c>
      <c r="E68" s="151">
        <f t="shared" si="3"/>
        <v>43.478260869565219</v>
      </c>
      <c r="F68" s="25"/>
    </row>
    <row r="69" spans="1:6" x14ac:dyDescent="0.25">
      <c r="A69" s="25"/>
      <c r="B69" s="3" t="s">
        <v>495</v>
      </c>
      <c r="C69" s="151">
        <v>34</v>
      </c>
      <c r="D69" s="106">
        <f t="shared" si="2"/>
        <v>1.7000000000000001E-2</v>
      </c>
      <c r="E69" s="151">
        <f t="shared" si="3"/>
        <v>43.478260869565219</v>
      </c>
      <c r="F69" s="25"/>
    </row>
    <row r="70" spans="1:6" x14ac:dyDescent="0.25">
      <c r="A70" s="25"/>
      <c r="B70" s="3" t="s">
        <v>496</v>
      </c>
      <c r="C70" s="151">
        <v>41</v>
      </c>
      <c r="D70" s="106">
        <f t="shared" si="2"/>
        <v>2.0500000000000001E-2</v>
      </c>
      <c r="E70" s="151">
        <f t="shared" si="3"/>
        <v>43.478260869565219</v>
      </c>
      <c r="F70" s="25"/>
    </row>
    <row r="71" spans="1:6" x14ac:dyDescent="0.25">
      <c r="A71" s="25"/>
      <c r="B71" s="3" t="s">
        <v>497</v>
      </c>
      <c r="C71" s="151">
        <v>36</v>
      </c>
      <c r="D71" s="106">
        <f t="shared" si="2"/>
        <v>1.7999999999999999E-2</v>
      </c>
      <c r="E71" s="151">
        <f t="shared" si="3"/>
        <v>43.478260869565219</v>
      </c>
      <c r="F71" s="25"/>
    </row>
    <row r="72" spans="1:6" x14ac:dyDescent="0.25">
      <c r="A72" s="25"/>
      <c r="B72" s="3" t="s">
        <v>498</v>
      </c>
      <c r="C72" s="151">
        <v>48</v>
      </c>
      <c r="D72" s="106">
        <f t="shared" si="2"/>
        <v>2.4E-2</v>
      </c>
      <c r="E72" s="151">
        <f t="shared" si="3"/>
        <v>43.478260869565219</v>
      </c>
      <c r="F72" s="25"/>
    </row>
    <row r="73" spans="1:6" x14ac:dyDescent="0.25">
      <c r="A73" s="25"/>
      <c r="B73" s="3" t="s">
        <v>500</v>
      </c>
      <c r="C73" s="151">
        <v>41</v>
      </c>
      <c r="D73" s="106">
        <f t="shared" si="2"/>
        <v>2.0500000000000001E-2</v>
      </c>
      <c r="E73" s="151">
        <f t="shared" si="3"/>
        <v>43.478260869565219</v>
      </c>
      <c r="F73" s="25"/>
    </row>
    <row r="74" spans="1:6" x14ac:dyDescent="0.25">
      <c r="A74" s="25"/>
      <c r="B74" s="3" t="s">
        <v>530</v>
      </c>
      <c r="C74" s="151">
        <v>44</v>
      </c>
      <c r="D74" s="106">
        <f t="shared" si="2"/>
        <v>2.1999999999999999E-2</v>
      </c>
      <c r="E74" s="151">
        <f t="shared" si="3"/>
        <v>43.478260869565219</v>
      </c>
      <c r="F74" s="25"/>
    </row>
    <row r="75" spans="1:6" x14ac:dyDescent="0.25">
      <c r="A75" s="25"/>
      <c r="B75" s="3" t="s">
        <v>502</v>
      </c>
      <c r="C75" s="151">
        <v>46</v>
      </c>
      <c r="D75" s="106">
        <f t="shared" si="2"/>
        <v>2.3E-2</v>
      </c>
      <c r="E75" s="151">
        <f t="shared" si="3"/>
        <v>43.478260869565219</v>
      </c>
      <c r="F75" s="25"/>
    </row>
    <row r="76" spans="1:6" x14ac:dyDescent="0.25">
      <c r="A76" s="25"/>
      <c r="B76" s="3" t="s">
        <v>503</v>
      </c>
      <c r="C76" s="151">
        <v>43</v>
      </c>
      <c r="D76" s="106">
        <f t="shared" si="2"/>
        <v>2.1499999999999998E-2</v>
      </c>
      <c r="E76" s="151">
        <f t="shared" si="3"/>
        <v>43.478260869565219</v>
      </c>
      <c r="F76" s="25"/>
    </row>
    <row r="77" spans="1:6" x14ac:dyDescent="0.25">
      <c r="A77" s="25"/>
      <c r="B77" s="3" t="s">
        <v>504</v>
      </c>
      <c r="C77" s="151">
        <v>49</v>
      </c>
      <c r="D77" s="106">
        <f t="shared" si="2"/>
        <v>2.4500000000000001E-2</v>
      </c>
      <c r="E77" s="151">
        <f t="shared" si="3"/>
        <v>43.478260869565219</v>
      </c>
      <c r="F77" s="25"/>
    </row>
    <row r="78" spans="1:6" x14ac:dyDescent="0.25">
      <c r="A78" s="25"/>
      <c r="B78" s="3" t="s">
        <v>505</v>
      </c>
      <c r="C78" s="151">
        <v>41</v>
      </c>
      <c r="D78" s="106">
        <f t="shared" si="2"/>
        <v>2.0500000000000001E-2</v>
      </c>
      <c r="E78" s="151">
        <f t="shared" si="3"/>
        <v>43.478260869565219</v>
      </c>
      <c r="F78" s="25"/>
    </row>
    <row r="79" spans="1:6" x14ac:dyDescent="0.25">
      <c r="A79" s="25"/>
      <c r="B79" s="3" t="s">
        <v>506</v>
      </c>
      <c r="C79" s="151">
        <v>44</v>
      </c>
      <c r="D79" s="106">
        <f t="shared" si="2"/>
        <v>2.1999999999999999E-2</v>
      </c>
      <c r="E79" s="151">
        <f t="shared" si="3"/>
        <v>43.478260869565219</v>
      </c>
      <c r="F79" s="25"/>
    </row>
    <row r="80" spans="1:6" x14ac:dyDescent="0.25">
      <c r="A80" s="25"/>
      <c r="B80" s="3" t="s">
        <v>507</v>
      </c>
      <c r="C80" s="151">
        <v>47</v>
      </c>
      <c r="D80" s="106">
        <f t="shared" si="2"/>
        <v>2.35E-2</v>
      </c>
      <c r="E80" s="151">
        <f t="shared" si="3"/>
        <v>43.478260869565219</v>
      </c>
      <c r="F80" s="25"/>
    </row>
    <row r="81" spans="1:6" x14ac:dyDescent="0.25">
      <c r="A81" s="25"/>
      <c r="B81" s="3" t="s">
        <v>508</v>
      </c>
      <c r="C81" s="151">
        <v>50</v>
      </c>
      <c r="D81" s="106">
        <f t="shared" si="2"/>
        <v>2.5000000000000001E-2</v>
      </c>
      <c r="E81" s="151">
        <f t="shared" si="3"/>
        <v>43.478260869565219</v>
      </c>
      <c r="F81" s="25"/>
    </row>
    <row r="82" spans="1:6" x14ac:dyDescent="0.25">
      <c r="A82" s="25"/>
      <c r="B82" s="3" t="s">
        <v>511</v>
      </c>
      <c r="C82" s="151">
        <v>41</v>
      </c>
      <c r="D82" s="106">
        <f t="shared" si="2"/>
        <v>2.0500000000000001E-2</v>
      </c>
      <c r="E82" s="151">
        <f t="shared" si="3"/>
        <v>43.478260869565219</v>
      </c>
      <c r="F82" s="25"/>
    </row>
    <row r="83" spans="1:6" x14ac:dyDescent="0.25">
      <c r="A83" s="25"/>
      <c r="B83" s="3" t="s">
        <v>512</v>
      </c>
      <c r="C83" s="151">
        <v>55</v>
      </c>
      <c r="D83" s="106">
        <f t="shared" si="2"/>
        <v>2.75E-2</v>
      </c>
      <c r="E83" s="151">
        <f t="shared" si="3"/>
        <v>43.478260869565219</v>
      </c>
      <c r="F83" s="25"/>
    </row>
    <row r="84" spans="1:6" x14ac:dyDescent="0.25">
      <c r="A84" s="25"/>
      <c r="B84" s="3" t="s">
        <v>529</v>
      </c>
      <c r="C84" s="151">
        <v>47</v>
      </c>
      <c r="D84" s="106">
        <f t="shared" si="2"/>
        <v>2.35E-2</v>
      </c>
      <c r="E84" s="151">
        <f t="shared" si="3"/>
        <v>43.478260869565219</v>
      </c>
      <c r="F84" s="25"/>
    </row>
    <row r="85" spans="1:6" x14ac:dyDescent="0.25">
      <c r="A85" s="25"/>
      <c r="B85" s="3" t="s">
        <v>513</v>
      </c>
      <c r="C85" s="151">
        <v>52</v>
      </c>
      <c r="D85" s="106">
        <f t="shared" si="2"/>
        <v>2.5999999999999999E-2</v>
      </c>
      <c r="E85" s="151">
        <f t="shared" si="3"/>
        <v>43.478260869565219</v>
      </c>
      <c r="F85" s="25"/>
    </row>
    <row r="86" spans="1:6" x14ac:dyDescent="0.25">
      <c r="A86" s="25"/>
      <c r="B86" s="3" t="s">
        <v>514</v>
      </c>
      <c r="C86" s="151">
        <v>45</v>
      </c>
      <c r="D86" s="106">
        <f t="shared" si="2"/>
        <v>2.2499999999999999E-2</v>
      </c>
      <c r="E86" s="151">
        <f t="shared" si="3"/>
        <v>43.478260869565219</v>
      </c>
      <c r="F86" s="25"/>
    </row>
    <row r="87" spans="1:6" x14ac:dyDescent="0.25">
      <c r="A87" s="25"/>
      <c r="B87" s="3" t="s">
        <v>515</v>
      </c>
      <c r="C87" s="151">
        <v>56</v>
      </c>
      <c r="D87" s="106">
        <f t="shared" si="2"/>
        <v>2.8000000000000001E-2</v>
      </c>
      <c r="E87" s="151">
        <f t="shared" si="3"/>
        <v>43.478260869565219</v>
      </c>
      <c r="F87" s="25"/>
    </row>
    <row r="88" spans="1:6" x14ac:dyDescent="0.25">
      <c r="A88" s="25"/>
      <c r="B88" s="3" t="s">
        <v>516</v>
      </c>
      <c r="C88" s="151">
        <v>39</v>
      </c>
      <c r="D88" s="106">
        <f t="shared" si="2"/>
        <v>1.95E-2</v>
      </c>
      <c r="E88" s="151">
        <f t="shared" si="3"/>
        <v>43.478260869565219</v>
      </c>
      <c r="F88" s="25"/>
    </row>
    <row r="89" spans="1:6" x14ac:dyDescent="0.25">
      <c r="A89" s="25"/>
      <c r="B89" s="3" t="s">
        <v>517</v>
      </c>
      <c r="C89" s="151">
        <f>SUM(C43:C88)/2</f>
        <v>1000</v>
      </c>
      <c r="E89" s="106"/>
      <c r="F89" s="25"/>
    </row>
    <row r="90" spans="1:6" x14ac:dyDescent="0.25">
      <c r="A90" s="25"/>
      <c r="B90" s="142"/>
      <c r="C90" s="142"/>
      <c r="D90" s="142"/>
      <c r="E90" s="204"/>
      <c r="F90" s="25"/>
    </row>
    <row r="91" spans="1:6" x14ac:dyDescent="0.25">
      <c r="A91" s="25"/>
      <c r="B91" s="142"/>
      <c r="C91" t="s">
        <v>526</v>
      </c>
      <c r="D91" s="34">
        <f>MIN(D43:D45,D46:D49,D50:D72,D73,D74:D81,D82:D88)</f>
        <v>1.6500000000000001E-2</v>
      </c>
      <c r="E91" s="204"/>
      <c r="F91" s="25"/>
    </row>
    <row r="92" spans="1:6" x14ac:dyDescent="0.25">
      <c r="A92" s="25"/>
      <c r="B92" s="142"/>
      <c r="C92" t="s">
        <v>528</v>
      </c>
      <c r="D92" s="34">
        <f>AVERAGE(D43:D45,D46:D49,D50:D72,D73,D74:D81,D82:D88)</f>
        <v>2.1739130434782605E-2</v>
      </c>
      <c r="E92" s="204"/>
      <c r="F92" s="25"/>
    </row>
    <row r="93" spans="1:6" x14ac:dyDescent="0.25">
      <c r="A93" s="25"/>
      <c r="B93" s="142"/>
      <c r="C93" t="s">
        <v>527</v>
      </c>
      <c r="D93" s="34">
        <f>MAX(D43:D45,D46:D49,D51:D72,D73,D74:D81,D82:D88)</f>
        <v>2.8500000000000001E-2</v>
      </c>
      <c r="E93" s="204"/>
      <c r="F93" s="25"/>
    </row>
    <row r="94" spans="1:6" x14ac:dyDescent="0.25">
      <c r="A94" s="25"/>
      <c r="B94" s="142"/>
      <c r="C94" t="s">
        <v>535</v>
      </c>
      <c r="D94">
        <f>1-_xlfn.CHISQ.TEST(C43:C88,E43:E88)</f>
        <v>9.5621231141918783E-2</v>
      </c>
      <c r="E94" s="142"/>
      <c r="F94" s="25"/>
    </row>
    <row r="95" spans="1:6" x14ac:dyDescent="0.25">
      <c r="A95" s="25"/>
      <c r="B95" s="142"/>
      <c r="C95" s="142"/>
      <c r="D95" s="142"/>
      <c r="E95" s="142"/>
      <c r="F95" s="25"/>
    </row>
    <row r="96" spans="1:6" x14ac:dyDescent="0.25">
      <c r="A96" s="25"/>
      <c r="B96" s="3" t="s">
        <v>470</v>
      </c>
      <c r="C96" s="151">
        <v>0</v>
      </c>
      <c r="D96" s="106"/>
      <c r="E96" s="34"/>
      <c r="F96" s="25"/>
    </row>
    <row r="97" spans="1:6" x14ac:dyDescent="0.25">
      <c r="A97" s="25"/>
      <c r="B97" s="3" t="s">
        <v>475</v>
      </c>
      <c r="C97" s="151">
        <v>0</v>
      </c>
      <c r="D97" s="106"/>
      <c r="E97" s="34"/>
      <c r="F97" s="25"/>
    </row>
    <row r="98" spans="1:6" x14ac:dyDescent="0.25">
      <c r="A98" s="25"/>
      <c r="B98" s="3" t="s">
        <v>499</v>
      </c>
      <c r="C98" s="151">
        <v>0</v>
      </c>
      <c r="D98" s="106"/>
      <c r="E98" s="34"/>
      <c r="F98" s="25"/>
    </row>
    <row r="99" spans="1:6" x14ac:dyDescent="0.25">
      <c r="A99" s="25"/>
      <c r="B99" s="3" t="s">
        <v>501</v>
      </c>
      <c r="C99" s="151">
        <v>0</v>
      </c>
      <c r="D99" s="106"/>
      <c r="F99" s="25"/>
    </row>
    <row r="100" spans="1:6" x14ac:dyDescent="0.25">
      <c r="A100" s="25"/>
      <c r="B100" s="3" t="s">
        <v>509</v>
      </c>
      <c r="C100" s="151">
        <v>0</v>
      </c>
      <c r="D100" s="106"/>
      <c r="F100" s="25"/>
    </row>
    <row r="101" spans="1:6" x14ac:dyDescent="0.25">
      <c r="A101" s="25"/>
      <c r="B101" s="3" t="s">
        <v>510</v>
      </c>
      <c r="C101" s="151">
        <v>0</v>
      </c>
      <c r="D101" s="106"/>
      <c r="F101" s="25"/>
    </row>
    <row r="102" spans="1:6" x14ac:dyDescent="0.25">
      <c r="A102" s="25"/>
      <c r="B102" s="25"/>
      <c r="C102" s="25"/>
      <c r="D102" s="25"/>
      <c r="E102" s="25"/>
      <c r="F102" s="25"/>
    </row>
  </sheetData>
  <mergeCells count="25">
    <mergeCell ref="D29:G30"/>
    <mergeCell ref="P18:Q18"/>
    <mergeCell ref="T18:U18"/>
    <mergeCell ref="I12:J12"/>
    <mergeCell ref="I15:J15"/>
    <mergeCell ref="L15:O15"/>
    <mergeCell ref="L12:O12"/>
    <mergeCell ref="Q12:S12"/>
    <mergeCell ref="Q15:S15"/>
    <mergeCell ref="F20:F22"/>
    <mergeCell ref="H20:H22"/>
    <mergeCell ref="I20:I22"/>
    <mergeCell ref="H18:I18"/>
    <mergeCell ref="K18:M18"/>
    <mergeCell ref="L19:M19"/>
    <mergeCell ref="K20:K22"/>
    <mergeCell ref="L33:M33"/>
    <mergeCell ref="L34:M34"/>
    <mergeCell ref="U20:U22"/>
    <mergeCell ref="L23:M23"/>
    <mergeCell ref="L20:M22"/>
    <mergeCell ref="P20:P22"/>
    <mergeCell ref="Q20:Q22"/>
    <mergeCell ref="T20:T22"/>
    <mergeCell ref="L32:M32"/>
  </mergeCells>
  <phoneticPr fontId="12" type="noConversion"/>
  <dataValidations count="11">
    <dataValidation allowBlank="1" showInputMessage="1" showErrorMessage="1" promptTitle="Real Odds:" prompt="91 in 1035" sqref="I13"/>
    <dataValidation allowBlank="1" showInputMessage="1" showErrorMessage="1" promptTitle="Real Odds:" prompt="91 in 2070" sqref="L13:M13"/>
    <dataValidation allowBlank="1" showInputMessage="1" showErrorMessage="1" promptTitle="Real Odds:" prompt="91 in 103500" sqref="I16"/>
    <dataValidation allowBlank="1" showInputMessage="1" showErrorMessage="1" promptTitle="Real Odds:" prompt="91 in 207000" sqref="L16:M16"/>
    <dataValidation allowBlank="1" showInputMessage="1" showErrorMessage="1" prompt="I have only kept track of 1000 HotA Gems." sqref="B16"/>
    <dataValidation allowBlank="1" showInputMessage="1" showErrorMessage="1" promptTitle="Assuming Valid Combinations:" prompt="e.g., you can't have BOTH Fire damage &amp; Cold damage on the same gem." sqref="K18:M18 P18:Q18 T18:U18"/>
    <dataValidation allowBlank="1" showInputMessage="1" showErrorMessage="1" promptTitle="Real Odds:" prompt="2 in 11" sqref="H20:H22"/>
    <dataValidation allowBlank="1" showInputMessage="1" showErrorMessage="1" promptTitle="Real Odds:" prompt="3 in 11" sqref="H23"/>
    <dataValidation allowBlank="1" showInputMessage="1" showErrorMessage="1" promptTitle="Real Odds:" prompt="6 in 231" sqref="K20:K22"/>
    <dataValidation allowBlank="1" showInputMessage="1" showErrorMessage="1" promptTitle="Real Odds:" prompt="15 in 231" sqref="K23"/>
    <dataValidation allowBlank="1" showInputMessage="1" showErrorMessage="1" promptTitle="Real Odds:" prompt="3 in 1463" sqref="P23"/>
  </dataValidations>
  <hyperlinks>
    <hyperlink ref="D29:F30" r:id="rId1" display="Independently verified by Approxiam, in their guide &quot;Endgame crafting: Nemesis Infusion&quot; on Steam"/>
  </hyperlinks>
  <pageMargins left="0.7" right="0.7" top="0.75" bottom="0.75" header="0.3" footer="0.3"/>
  <ignoredErrors>
    <ignoredError sqref="L2:L10" twoDigitTextYear="1"/>
    <ignoredError sqref="P7 P9" formula="1"/>
    <ignoredError sqref="C2" formulaRange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48"/>
  <sheetViews>
    <sheetView zoomScaleNormal="100" workbookViewId="0">
      <selection activeCell="AD1" sqref="AD1"/>
    </sheetView>
  </sheetViews>
  <sheetFormatPr defaultRowHeight="15" x14ac:dyDescent="0.25"/>
  <cols>
    <col min="1" max="1" width="3" bestFit="1" customWidth="1"/>
  </cols>
  <sheetData>
    <row r="1" spans="1:2" x14ac:dyDescent="0.25">
      <c r="A1" t="s">
        <v>129</v>
      </c>
      <c r="B1" t="s">
        <v>132</v>
      </c>
    </row>
    <row r="2" spans="1:2" x14ac:dyDescent="0.25">
      <c r="A2" t="s">
        <v>130</v>
      </c>
      <c r="B2" t="s">
        <v>451</v>
      </c>
    </row>
    <row r="3" spans="1:2" x14ac:dyDescent="0.25">
      <c r="B3" t="s">
        <v>452</v>
      </c>
    </row>
    <row r="6" spans="1:2" x14ac:dyDescent="0.25">
      <c r="A6" t="s">
        <v>129</v>
      </c>
      <c r="B6" t="s">
        <v>133</v>
      </c>
    </row>
    <row r="7" spans="1:2" x14ac:dyDescent="0.25">
      <c r="A7" t="s">
        <v>130</v>
      </c>
      <c r="B7" s="12" t="s">
        <v>134</v>
      </c>
    </row>
    <row r="10" spans="1:2" x14ac:dyDescent="0.25">
      <c r="A10" t="s">
        <v>129</v>
      </c>
      <c r="B10" t="s">
        <v>214</v>
      </c>
    </row>
    <row r="11" spans="1:2" x14ac:dyDescent="0.25">
      <c r="A11" t="s">
        <v>130</v>
      </c>
      <c r="B11" t="s">
        <v>217</v>
      </c>
    </row>
    <row r="12" spans="1:2" x14ac:dyDescent="0.25">
      <c r="B12" t="s">
        <v>216</v>
      </c>
    </row>
    <row r="13" spans="1:2" x14ac:dyDescent="0.25">
      <c r="B13" t="s">
        <v>220</v>
      </c>
    </row>
    <row r="16" spans="1:2" x14ac:dyDescent="0.25">
      <c r="A16" t="s">
        <v>129</v>
      </c>
      <c r="B16" t="s">
        <v>131</v>
      </c>
    </row>
    <row r="17" spans="1:2" x14ac:dyDescent="0.25">
      <c r="A17" t="s">
        <v>130</v>
      </c>
      <c r="B17" t="s">
        <v>544</v>
      </c>
    </row>
    <row r="20" spans="1:2" x14ac:dyDescent="0.25">
      <c r="A20" t="s">
        <v>129</v>
      </c>
      <c r="B20" t="s">
        <v>135</v>
      </c>
    </row>
    <row r="21" spans="1:2" x14ac:dyDescent="0.25">
      <c r="A21" t="s">
        <v>130</v>
      </c>
      <c r="B21" t="s">
        <v>210</v>
      </c>
    </row>
    <row r="24" spans="1:2" x14ac:dyDescent="0.25">
      <c r="A24" t="s">
        <v>129</v>
      </c>
      <c r="B24" t="s">
        <v>138</v>
      </c>
    </row>
    <row r="25" spans="1:2" x14ac:dyDescent="0.25">
      <c r="A25" t="s">
        <v>130</v>
      </c>
      <c r="B25" t="s">
        <v>545</v>
      </c>
    </row>
    <row r="28" spans="1:2" x14ac:dyDescent="0.25">
      <c r="A28" t="s">
        <v>129</v>
      </c>
      <c r="B28" t="s">
        <v>211</v>
      </c>
    </row>
    <row r="29" spans="1:2" x14ac:dyDescent="0.25">
      <c r="A29" t="s">
        <v>130</v>
      </c>
      <c r="B29" t="s">
        <v>139</v>
      </c>
    </row>
    <row r="32" spans="1:2" x14ac:dyDescent="0.25">
      <c r="A32" t="s">
        <v>129</v>
      </c>
      <c r="B32" t="s">
        <v>136</v>
      </c>
    </row>
    <row r="33" spans="1:22" x14ac:dyDescent="0.25">
      <c r="A33" t="s">
        <v>130</v>
      </c>
      <c r="B33" t="s">
        <v>137</v>
      </c>
    </row>
    <row r="36" spans="1:22" x14ac:dyDescent="0.25">
      <c r="A36" t="s">
        <v>129</v>
      </c>
      <c r="B36" t="s">
        <v>161</v>
      </c>
    </row>
    <row r="37" spans="1:22" x14ac:dyDescent="0.25">
      <c r="A37" t="s">
        <v>130</v>
      </c>
      <c r="B37" t="s">
        <v>546</v>
      </c>
    </row>
    <row r="40" spans="1:22" x14ac:dyDescent="0.25">
      <c r="A40" t="s">
        <v>129</v>
      </c>
      <c r="B40" t="s">
        <v>203</v>
      </c>
    </row>
    <row r="41" spans="1:22" x14ac:dyDescent="0.25">
      <c r="A41" t="s">
        <v>130</v>
      </c>
      <c r="B41" t="s">
        <v>204</v>
      </c>
    </row>
    <row r="44" spans="1:22" x14ac:dyDescent="0.25">
      <c r="A44" t="s">
        <v>129</v>
      </c>
      <c r="B44" t="s">
        <v>156</v>
      </c>
    </row>
    <row r="45" spans="1:22" ht="15" customHeight="1" x14ac:dyDescent="0.25">
      <c r="A45" t="s">
        <v>130</v>
      </c>
      <c r="B45" s="7" t="s">
        <v>263</v>
      </c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</row>
    <row r="46" spans="1:22" x14ac:dyDescent="0.25">
      <c r="B46" s="7" t="s">
        <v>154</v>
      </c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</row>
    <row r="47" spans="1:22" x14ac:dyDescent="0.25">
      <c r="B47" s="7" t="s">
        <v>155</v>
      </c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</row>
    <row r="48" spans="1:22" x14ac:dyDescent="0.25">
      <c r="B48" t="s">
        <v>157</v>
      </c>
    </row>
  </sheetData>
  <hyperlinks>
    <hyperlink ref="B7" r:id="rId1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O206"/>
  <sheetViews>
    <sheetView zoomScaleNormal="100" workbookViewId="0"/>
  </sheetViews>
  <sheetFormatPr defaultRowHeight="15" x14ac:dyDescent="0.25"/>
  <cols>
    <col min="1" max="1" width="16.28515625" customWidth="1"/>
    <col min="2" max="2" width="21" bestFit="1" customWidth="1"/>
    <col min="3" max="3" width="20.42578125" bestFit="1" customWidth="1"/>
    <col min="4" max="4" width="19.140625" bestFit="1" customWidth="1"/>
    <col min="5" max="5" width="17.42578125" customWidth="1"/>
    <col min="6" max="6" width="18.140625" customWidth="1"/>
    <col min="7" max="7" width="17.28515625" customWidth="1"/>
    <col min="8" max="8" width="18.140625" customWidth="1"/>
    <col min="9" max="9" width="17" bestFit="1" customWidth="1"/>
    <col min="10" max="10" width="16.140625" customWidth="1"/>
    <col min="11" max="11" width="18" bestFit="1" customWidth="1"/>
    <col min="12" max="12" width="17.42578125" bestFit="1" customWidth="1"/>
    <col min="13" max="13" width="16" bestFit="1" customWidth="1"/>
    <col min="14" max="14" width="15.5703125" bestFit="1" customWidth="1"/>
    <col min="15" max="15" width="16.42578125" bestFit="1" customWidth="1"/>
    <col min="17" max="17" width="18.28515625" customWidth="1"/>
    <col min="18" max="18" width="17.85546875" bestFit="1" customWidth="1"/>
    <col min="20" max="20" width="22.42578125" bestFit="1" customWidth="1"/>
  </cols>
  <sheetData>
    <row r="1" spans="1:41" x14ac:dyDescent="0.25">
      <c r="A1" t="s">
        <v>44</v>
      </c>
      <c r="B1" t="s">
        <v>45</v>
      </c>
      <c r="C1" t="s">
        <v>46</v>
      </c>
      <c r="D1" t="s">
        <v>47</v>
      </c>
      <c r="E1" t="s">
        <v>59</v>
      </c>
      <c r="F1" t="s">
        <v>66</v>
      </c>
      <c r="G1" t="s">
        <v>67</v>
      </c>
      <c r="H1" t="s">
        <v>82</v>
      </c>
      <c r="I1" t="s">
        <v>83</v>
      </c>
      <c r="J1" t="s">
        <v>84</v>
      </c>
      <c r="K1" t="s">
        <v>85</v>
      </c>
      <c r="L1" t="s">
        <v>86</v>
      </c>
      <c r="M1" t="s">
        <v>87</v>
      </c>
      <c r="Q1" s="9" t="str">
        <f t="array" aca="1" ref="Q1:Q10" ca="1">TRANSPOSE(A28:J28)</f>
        <v>Melee Damage</v>
      </c>
      <c r="R1" s="9" t="str">
        <f t="array" aca="1" ref="R1:R10" ca="1">TRANSPOSE(A30:J30)</f>
        <v>Fire Damage</v>
      </c>
      <c r="T1" t="s">
        <v>12</v>
      </c>
      <c r="U1" s="1">
        <v>2.42</v>
      </c>
      <c r="V1" s="1"/>
      <c r="W1" t="s">
        <v>243</v>
      </c>
      <c r="Y1" s="13" t="s">
        <v>269</v>
      </c>
      <c r="Z1" s="14"/>
      <c r="AA1" s="99"/>
      <c r="AB1" s="104" t="s">
        <v>232</v>
      </c>
      <c r="AC1" s="14"/>
      <c r="AD1" s="102"/>
      <c r="AE1" s="104" t="s">
        <v>267</v>
      </c>
      <c r="AF1" s="14"/>
      <c r="AG1" s="102"/>
      <c r="AH1" s="14" t="s">
        <v>334</v>
      </c>
      <c r="AI1" s="14"/>
      <c r="AJ1" s="15"/>
      <c r="AK1" t="s">
        <v>327</v>
      </c>
    </row>
    <row r="2" spans="1:41" x14ac:dyDescent="0.25">
      <c r="A2" t="s">
        <v>41</v>
      </c>
      <c r="B2" t="s">
        <v>56</v>
      </c>
      <c r="C2" t="s">
        <v>56</v>
      </c>
      <c r="D2" t="s">
        <v>56</v>
      </c>
      <c r="E2" t="s">
        <v>28</v>
      </c>
      <c r="F2" t="s">
        <v>75</v>
      </c>
      <c r="G2" t="s">
        <v>68</v>
      </c>
      <c r="H2" t="s">
        <v>103</v>
      </c>
      <c r="I2" t="s">
        <v>88</v>
      </c>
      <c r="J2" t="s">
        <v>97</v>
      </c>
      <c r="K2" t="s">
        <v>100</v>
      </c>
      <c r="L2" t="s">
        <v>91</v>
      </c>
      <c r="M2" t="s">
        <v>94</v>
      </c>
      <c r="Q2" s="10" t="str">
        <f ca="1"/>
        <v>Fire Damage</v>
      </c>
      <c r="R2" s="10" t="str">
        <f ca="1"/>
        <v>Elemental Damage</v>
      </c>
      <c r="T2" t="s">
        <v>13</v>
      </c>
      <c r="U2" s="1">
        <v>4.84</v>
      </c>
      <c r="V2" s="1"/>
      <c r="W2">
        <v>0</v>
      </c>
      <c r="Y2" s="36" t="s">
        <v>332</v>
      </c>
      <c r="Z2" t="s">
        <v>9</v>
      </c>
      <c r="AA2" t="s">
        <v>333</v>
      </c>
      <c r="AB2" s="95" t="s">
        <v>268</v>
      </c>
      <c r="AC2" t="s">
        <v>9</v>
      </c>
      <c r="AD2" s="96" t="s">
        <v>333</v>
      </c>
      <c r="AE2" s="95" t="s">
        <v>268</v>
      </c>
      <c r="AF2" t="s">
        <v>9</v>
      </c>
      <c r="AG2" s="96" t="s">
        <v>333</v>
      </c>
      <c r="AH2" t="s">
        <v>268</v>
      </c>
      <c r="AI2" t="s">
        <v>9</v>
      </c>
      <c r="AJ2" s="37" t="s">
        <v>333</v>
      </c>
    </row>
    <row r="3" spans="1:41" ht="15.75" thickBot="1" x14ac:dyDescent="0.3">
      <c r="A3" t="s">
        <v>42</v>
      </c>
      <c r="B3" t="s">
        <v>0</v>
      </c>
      <c r="C3" t="s">
        <v>50</v>
      </c>
      <c r="D3" t="s">
        <v>53</v>
      </c>
      <c r="E3" t="s">
        <v>60</v>
      </c>
      <c r="F3" t="s">
        <v>76</v>
      </c>
      <c r="G3" t="s">
        <v>69</v>
      </c>
      <c r="H3" t="s">
        <v>104</v>
      </c>
      <c r="I3" t="s">
        <v>89</v>
      </c>
      <c r="J3" t="s">
        <v>98</v>
      </c>
      <c r="K3" t="s">
        <v>101</v>
      </c>
      <c r="L3" t="s">
        <v>92</v>
      </c>
      <c r="M3" t="s">
        <v>95</v>
      </c>
      <c r="Q3" s="10" t="str">
        <f ca="1"/>
        <v>Elemental Damage</v>
      </c>
      <c r="R3" s="10" t="str">
        <f ca="1"/>
        <v>Area Damage</v>
      </c>
      <c r="T3" t="s">
        <v>14</v>
      </c>
      <c r="U3" s="1">
        <v>4.84</v>
      </c>
      <c r="V3" s="1"/>
      <c r="W3">
        <v>3</v>
      </c>
      <c r="Y3" s="38">
        <v>0</v>
      </c>
      <c r="Z3" s="39">
        <f xml:space="preserve"> (1 - (0.9^(Y3/180))) * 100</f>
        <v>0</v>
      </c>
      <c r="AA3" s="39">
        <v>0</v>
      </c>
      <c r="AB3" s="105">
        <v>0</v>
      </c>
      <c r="AC3" s="39">
        <f xml:space="preserve"> (1 - (0.9^(AB3/1210))) * 100</f>
        <v>0</v>
      </c>
      <c r="AD3" s="103">
        <v>0</v>
      </c>
      <c r="AE3" s="105">
        <v>0</v>
      </c>
      <c r="AF3" s="39">
        <f xml:space="preserve"> (1 - (0.5^(AE3/13068))) * 100</f>
        <v>0</v>
      </c>
      <c r="AG3" s="103">
        <v>0</v>
      </c>
      <c r="AH3" s="39">
        <v>0</v>
      </c>
      <c r="AI3" s="39">
        <f xml:space="preserve"> (1 - (0.8^(AH3/968))) * 100</f>
        <v>0</v>
      </c>
      <c r="AJ3" s="40">
        <v>0</v>
      </c>
      <c r="AK3" t="s">
        <v>328</v>
      </c>
    </row>
    <row r="4" spans="1:41" x14ac:dyDescent="0.25">
      <c r="A4" t="s">
        <v>43</v>
      </c>
      <c r="B4" t="s">
        <v>48</v>
      </c>
      <c r="C4" t="s">
        <v>51</v>
      </c>
      <c r="D4" t="s">
        <v>54</v>
      </c>
      <c r="E4" t="s">
        <v>61</v>
      </c>
      <c r="F4" t="s">
        <v>77</v>
      </c>
      <c r="G4" t="s">
        <v>70</v>
      </c>
      <c r="H4" t="s">
        <v>105</v>
      </c>
      <c r="I4" t="s">
        <v>90</v>
      </c>
      <c r="J4" t="s">
        <v>99</v>
      </c>
      <c r="K4" t="s">
        <v>102</v>
      </c>
      <c r="L4" t="s">
        <v>93</v>
      </c>
      <c r="M4" t="s">
        <v>96</v>
      </c>
      <c r="Q4" s="10" t="str">
        <f ca="1"/>
        <v>Direct Damage</v>
      </c>
      <c r="R4" s="10" t="str">
        <f ca="1"/>
        <v/>
      </c>
      <c r="T4" t="s">
        <v>38</v>
      </c>
      <c r="U4" s="1">
        <v>4.84</v>
      </c>
      <c r="V4" s="1"/>
      <c r="W4">
        <v>9</v>
      </c>
      <c r="X4" s="3"/>
      <c r="Y4" s="36">
        <v>100</v>
      </c>
      <c r="Z4">
        <f xml:space="preserve"> (1 - (0.9^(Y4/180))) * 100</f>
        <v>5.6853468540453473</v>
      </c>
      <c r="AA4">
        <f>Z4-Z3</f>
        <v>5.6853468540453473</v>
      </c>
      <c r="AB4" s="95">
        <v>100</v>
      </c>
      <c r="AC4">
        <f t="shared" ref="AC4:AC67" si="0" xml:space="preserve"> (1 - (0.9^(AB4/1210))) * 100</f>
        <v>0.86696803181274262</v>
      </c>
      <c r="AD4" s="96">
        <f>AC4-AC3</f>
        <v>0.86696803181274262</v>
      </c>
      <c r="AE4" s="95">
        <v>100</v>
      </c>
      <c r="AF4">
        <f xml:space="preserve"> (1 - (0.5^(AE4/13068))) * 100</f>
        <v>0.52901143697950959</v>
      </c>
      <c r="AG4" s="96">
        <f>AF4-AF3</f>
        <v>0.52901143697950959</v>
      </c>
      <c r="AH4">
        <v>100</v>
      </c>
      <c r="AI4">
        <f xml:space="preserve"> (1 - (0.8^(AH4/968))) * 100</f>
        <v>2.2788351868122114</v>
      </c>
      <c r="AJ4" s="37">
        <f>AI4-AI3</f>
        <v>2.2788351868122114</v>
      </c>
      <c r="AK4" t="s">
        <v>329</v>
      </c>
    </row>
    <row r="5" spans="1:41" x14ac:dyDescent="0.25">
      <c r="B5" t="s">
        <v>49</v>
      </c>
      <c r="C5" t="s">
        <v>52</v>
      </c>
      <c r="D5" t="s">
        <v>55</v>
      </c>
      <c r="E5" t="s">
        <v>62</v>
      </c>
      <c r="F5" t="s">
        <v>78</v>
      </c>
      <c r="G5" t="s">
        <v>71</v>
      </c>
      <c r="Q5" s="10" t="str">
        <f ca="1"/>
        <v/>
      </c>
      <c r="R5" s="10" t="str">
        <f ca="1"/>
        <v/>
      </c>
      <c r="T5" t="s">
        <v>15</v>
      </c>
      <c r="U5" s="1">
        <v>4.84</v>
      </c>
      <c r="V5" s="1"/>
      <c r="W5">
        <v>27</v>
      </c>
      <c r="Y5" s="36">
        <v>200</v>
      </c>
      <c r="Z5">
        <f t="shared" ref="Z5:Z68" si="1" xml:space="preserve"> (1 - (0.9^(Y5/180))) * 100</f>
        <v>11.047462019582655</v>
      </c>
      <c r="AA5">
        <f>Z5-Z4</f>
        <v>5.3621151655373076</v>
      </c>
      <c r="AB5" s="95">
        <v>200</v>
      </c>
      <c r="AC5">
        <f t="shared" si="0"/>
        <v>1.7264197279436289</v>
      </c>
      <c r="AD5" s="96">
        <f>AC5-AC4</f>
        <v>0.85945169613088623</v>
      </c>
      <c r="AE5" s="95">
        <v>200</v>
      </c>
      <c r="AF5">
        <f t="shared" ref="AF5:AF68" si="2" xml:space="preserve"> (1 - (0.5^(AE5/13068))) * 100</f>
        <v>1.0552243429544528</v>
      </c>
      <c r="AG5" s="96">
        <f t="shared" ref="AG5:AG68" si="3">AF5-AF4</f>
        <v>0.52621290597494319</v>
      </c>
      <c r="AH5">
        <v>200</v>
      </c>
      <c r="AI5">
        <f t="shared" ref="AI5:AI68" si="4" xml:space="preserve"> (1 - (0.8^(AH5/968))) * 100</f>
        <v>4.5057394755378848</v>
      </c>
      <c r="AJ5" s="37">
        <f t="shared" ref="AJ5:AJ68" si="5">AI5-AI4</f>
        <v>2.2269042887256734</v>
      </c>
      <c r="AK5" t="s">
        <v>330</v>
      </c>
    </row>
    <row r="6" spans="1:41" x14ac:dyDescent="0.25">
      <c r="E6" t="s">
        <v>63</v>
      </c>
      <c r="F6" t="s">
        <v>79</v>
      </c>
      <c r="G6" t="s">
        <v>72</v>
      </c>
      <c r="Q6" s="10" t="str">
        <f ca="1"/>
        <v/>
      </c>
      <c r="R6" s="10" t="str">
        <f ca="1"/>
        <v/>
      </c>
      <c r="T6" t="s">
        <v>16</v>
      </c>
      <c r="U6" s="1">
        <v>4.84</v>
      </c>
      <c r="V6" s="1"/>
      <c r="W6">
        <v>81</v>
      </c>
      <c r="Y6" s="36">
        <v>300</v>
      </c>
      <c r="Z6">
        <f t="shared" si="1"/>
        <v>16.104722339245814</v>
      </c>
      <c r="AA6">
        <f t="shared" ref="AA6:AA69" si="6">Z6-Z5</f>
        <v>5.0572603196631594</v>
      </c>
      <c r="AB6" s="95">
        <v>300</v>
      </c>
      <c r="AC6">
        <f t="shared" si="0"/>
        <v>2.5784202526201949</v>
      </c>
      <c r="AD6" s="96">
        <f t="shared" ref="AD6:AD69" si="7">AC6-AC5</f>
        <v>0.85200052467656606</v>
      </c>
      <c r="AE6" s="95">
        <v>300</v>
      </c>
      <c r="AF6">
        <f t="shared" si="2"/>
        <v>1.5786535224739384</v>
      </c>
      <c r="AG6" s="96">
        <f t="shared" si="3"/>
        <v>0.52342917951948564</v>
      </c>
      <c r="AH6">
        <v>300</v>
      </c>
      <c r="AI6">
        <f t="shared" si="4"/>
        <v>6.6818962857554514</v>
      </c>
      <c r="AJ6" s="37">
        <f t="shared" si="5"/>
        <v>2.1761568102175666</v>
      </c>
      <c r="AK6" t="s">
        <v>331</v>
      </c>
    </row>
    <row r="7" spans="1:41" x14ac:dyDescent="0.25">
      <c r="E7" t="s">
        <v>64</v>
      </c>
      <c r="F7" t="s">
        <v>80</v>
      </c>
      <c r="G7" t="s">
        <v>73</v>
      </c>
      <c r="Q7" s="10" t="str">
        <f ca="1"/>
        <v/>
      </c>
      <c r="R7" s="10" t="str">
        <f ca="1"/>
        <v/>
      </c>
      <c r="T7" t="s">
        <v>17</v>
      </c>
      <c r="U7" s="1">
        <v>4.84</v>
      </c>
      <c r="V7" s="1"/>
      <c r="W7">
        <v>243</v>
      </c>
      <c r="Y7" s="36">
        <v>400</v>
      </c>
      <c r="Z7">
        <f t="shared" si="1"/>
        <v>20.874459868424101</v>
      </c>
      <c r="AA7">
        <f t="shared" si="6"/>
        <v>4.7697375291782862</v>
      </c>
      <c r="AB7" s="95">
        <v>400</v>
      </c>
      <c r="AC7">
        <f t="shared" si="0"/>
        <v>3.423034205116926</v>
      </c>
      <c r="AD7" s="96">
        <f t="shared" si="7"/>
        <v>0.8446139524967311</v>
      </c>
      <c r="AE7" s="95">
        <v>400</v>
      </c>
      <c r="AF7">
        <f t="shared" si="2"/>
        <v>2.0993137017692787</v>
      </c>
      <c r="AG7" s="96">
        <f t="shared" si="3"/>
        <v>0.52066017929534025</v>
      </c>
      <c r="AH7">
        <v>400</v>
      </c>
      <c r="AI7">
        <f t="shared" si="4"/>
        <v>8.8084620688615658</v>
      </c>
      <c r="AJ7" s="37">
        <f t="shared" si="5"/>
        <v>2.1265657831061144</v>
      </c>
    </row>
    <row r="8" spans="1:41" x14ac:dyDescent="0.25">
      <c r="E8" t="s">
        <v>65</v>
      </c>
      <c r="F8" t="s">
        <v>81</v>
      </c>
      <c r="G8" t="s">
        <v>74</v>
      </c>
      <c r="Q8" s="10" t="str">
        <f ca="1"/>
        <v/>
      </c>
      <c r="R8" s="10" t="str">
        <f ca="1"/>
        <v/>
      </c>
      <c r="T8" t="s">
        <v>34</v>
      </c>
      <c r="U8" s="1">
        <v>4.84</v>
      </c>
      <c r="V8" s="1"/>
      <c r="W8">
        <v>729</v>
      </c>
      <c r="Y8" s="36">
        <v>500</v>
      </c>
      <c r="Z8">
        <f t="shared" si="1"/>
        <v>25.37302127504104</v>
      </c>
      <c r="AA8">
        <f t="shared" si="6"/>
        <v>4.4985614066169397</v>
      </c>
      <c r="AB8" s="95">
        <v>500</v>
      </c>
      <c r="AC8">
        <f t="shared" si="0"/>
        <v>4.2603256246532943</v>
      </c>
      <c r="AD8" s="96">
        <f t="shared" si="7"/>
        <v>0.83729141953636832</v>
      </c>
      <c r="AE8" s="95">
        <v>500</v>
      </c>
      <c r="AF8">
        <f t="shared" si="2"/>
        <v>2.6172195291683464</v>
      </c>
      <c r="AG8" s="96">
        <f t="shared" si="3"/>
        <v>0.51790582739906776</v>
      </c>
      <c r="AH8">
        <v>500</v>
      </c>
      <c r="AI8">
        <f t="shared" si="4"/>
        <v>10.886566922631546</v>
      </c>
      <c r="AJ8" s="37">
        <f t="shared" si="5"/>
        <v>2.0781048537699807</v>
      </c>
    </row>
    <row r="9" spans="1:41" x14ac:dyDescent="0.25">
      <c r="Q9" s="10" t="str">
        <f ca="1"/>
        <v/>
      </c>
      <c r="R9" s="10" t="str">
        <f ca="1"/>
        <v/>
      </c>
      <c r="T9" t="s">
        <v>18</v>
      </c>
      <c r="U9" s="1">
        <v>4.84</v>
      </c>
      <c r="V9" s="1"/>
      <c r="W9">
        <v>2187</v>
      </c>
      <c r="X9" s="3"/>
      <c r="Y9" s="36">
        <v>600</v>
      </c>
      <c r="Z9">
        <f t="shared" si="1"/>
        <v>29.615823862249592</v>
      </c>
      <c r="AA9">
        <f t="shared" si="6"/>
        <v>4.2428025872085513</v>
      </c>
      <c r="AB9" s="95">
        <v>600</v>
      </c>
      <c r="AC9">
        <f t="shared" si="0"/>
        <v>5.0903579952491622</v>
      </c>
      <c r="AD9" s="96">
        <f t="shared" si="7"/>
        <v>0.83003237059586787</v>
      </c>
      <c r="AE9" s="95">
        <v>600</v>
      </c>
      <c r="AF9">
        <f t="shared" si="2"/>
        <v>3.1323855755076901</v>
      </c>
      <c r="AG9" s="96">
        <f t="shared" si="3"/>
        <v>0.51516604633934371</v>
      </c>
      <c r="AH9">
        <v>600</v>
      </c>
      <c r="AI9">
        <f t="shared" si="4"/>
        <v>12.91731519177497</v>
      </c>
      <c r="AJ9" s="37">
        <f t="shared" si="5"/>
        <v>2.0307482691434231</v>
      </c>
    </row>
    <row r="10" spans="1:41" ht="15.75" thickBot="1" x14ac:dyDescent="0.3">
      <c r="A10" t="s">
        <v>28</v>
      </c>
      <c r="B10" t="s">
        <v>60</v>
      </c>
      <c r="C10" t="s">
        <v>61</v>
      </c>
      <c r="D10" t="s">
        <v>62</v>
      </c>
      <c r="E10" t="s">
        <v>63</v>
      </c>
      <c r="F10" t="s">
        <v>64</v>
      </c>
      <c r="G10" t="s">
        <v>65</v>
      </c>
      <c r="I10" t="s">
        <v>103</v>
      </c>
      <c r="J10" t="s">
        <v>104</v>
      </c>
      <c r="K10" t="s">
        <v>105</v>
      </c>
      <c r="M10" t="s">
        <v>100</v>
      </c>
      <c r="N10" t="s">
        <v>101</v>
      </c>
      <c r="O10" t="s">
        <v>102</v>
      </c>
      <c r="Q10" s="11" t="str">
        <f ca="1"/>
        <v/>
      </c>
      <c r="R10" s="11" t="str">
        <f ca="1"/>
        <v/>
      </c>
      <c r="T10" t="s">
        <v>35</v>
      </c>
      <c r="U10" s="1">
        <v>4.84</v>
      </c>
      <c r="V10" s="1"/>
      <c r="W10">
        <v>6561</v>
      </c>
      <c r="Y10" s="36">
        <v>700</v>
      </c>
      <c r="Z10">
        <f t="shared" si="1"/>
        <v>33.617408406042912</v>
      </c>
      <c r="AA10">
        <f t="shared" si="6"/>
        <v>4.0015845437933208</v>
      </c>
      <c r="AB10" s="95">
        <v>700</v>
      </c>
      <c r="AC10">
        <f t="shared" si="0"/>
        <v>5.9131942505382673</v>
      </c>
      <c r="AD10" s="96">
        <f t="shared" si="7"/>
        <v>0.82283625528910509</v>
      </c>
      <c r="AE10" s="95">
        <v>700</v>
      </c>
      <c r="AF10">
        <f t="shared" si="2"/>
        <v>3.6448263345424614</v>
      </c>
      <c r="AG10" s="96">
        <f t="shared" si="3"/>
        <v>0.51244075903477126</v>
      </c>
      <c r="AH10">
        <v>700</v>
      </c>
      <c r="AI10">
        <f t="shared" si="4"/>
        <v>14.901786054805576</v>
      </c>
      <c r="AJ10" s="37">
        <f t="shared" si="5"/>
        <v>1.9844708630306069</v>
      </c>
    </row>
    <row r="11" spans="1:41" x14ac:dyDescent="0.25">
      <c r="A11" t="s">
        <v>106</v>
      </c>
      <c r="B11" t="s">
        <v>106</v>
      </c>
      <c r="C11" t="s">
        <v>106</v>
      </c>
      <c r="D11" t="s">
        <v>106</v>
      </c>
      <c r="E11" t="s">
        <v>106</v>
      </c>
      <c r="F11" t="s">
        <v>106</v>
      </c>
      <c r="G11" t="s">
        <v>106</v>
      </c>
      <c r="I11" t="s">
        <v>106</v>
      </c>
      <c r="J11" t="s">
        <v>106</v>
      </c>
      <c r="K11" t="s">
        <v>106</v>
      </c>
      <c r="M11" t="s">
        <v>106</v>
      </c>
      <c r="N11" t="s">
        <v>106</v>
      </c>
      <c r="O11" t="s">
        <v>106</v>
      </c>
      <c r="T11" t="s">
        <v>19</v>
      </c>
      <c r="U11" s="1">
        <v>2.42</v>
      </c>
      <c r="V11" s="1"/>
      <c r="W11">
        <v>19683</v>
      </c>
      <c r="Y11" s="36">
        <v>800</v>
      </c>
      <c r="Z11">
        <f t="shared" si="1"/>
        <v>37.391488988863728</v>
      </c>
      <c r="AA11">
        <f t="shared" si="6"/>
        <v>3.7740805828208153</v>
      </c>
      <c r="AB11" s="95">
        <v>800</v>
      </c>
      <c r="AC11">
        <f t="shared" si="0"/>
        <v>6.7288967785398501</v>
      </c>
      <c r="AD11" s="96">
        <f t="shared" si="7"/>
        <v>0.81570252800158283</v>
      </c>
      <c r="AE11" s="95">
        <v>800</v>
      </c>
      <c r="AF11">
        <f t="shared" si="2"/>
        <v>4.1545562233542004</v>
      </c>
      <c r="AG11" s="96">
        <f t="shared" si="3"/>
        <v>0.50972988881173897</v>
      </c>
      <c r="AH11">
        <v>800</v>
      </c>
      <c r="AI11">
        <f t="shared" si="4"/>
        <v>16.841034097537399</v>
      </c>
      <c r="AJ11" s="37">
        <f t="shared" si="5"/>
        <v>1.9392480427318226</v>
      </c>
    </row>
    <row r="12" spans="1:41" x14ac:dyDescent="0.25">
      <c r="A12" t="s">
        <v>110</v>
      </c>
      <c r="B12" t="s">
        <v>112</v>
      </c>
      <c r="C12" t="s">
        <v>109</v>
      </c>
      <c r="F12" t="s">
        <v>112</v>
      </c>
      <c r="G12" t="s">
        <v>110</v>
      </c>
      <c r="I12" t="s">
        <v>110</v>
      </c>
      <c r="J12" t="s">
        <v>111</v>
      </c>
      <c r="T12" t="s">
        <v>20</v>
      </c>
      <c r="U12" s="1">
        <v>0.04</v>
      </c>
      <c r="V12" s="1"/>
      <c r="W12">
        <v>59049</v>
      </c>
      <c r="Y12" s="36">
        <v>900</v>
      </c>
      <c r="Z12">
        <f t="shared" si="1"/>
        <v>40.950999999999979</v>
      </c>
      <c r="AA12">
        <f t="shared" si="6"/>
        <v>3.5595110111362516</v>
      </c>
      <c r="AB12" s="95">
        <v>900</v>
      </c>
      <c r="AC12">
        <f t="shared" si="0"/>
        <v>7.5375274263889791</v>
      </c>
      <c r="AD12" s="96">
        <f t="shared" si="7"/>
        <v>0.80863064784912897</v>
      </c>
      <c r="AE12" s="95">
        <v>900</v>
      </c>
      <c r="AF12">
        <f t="shared" si="2"/>
        <v>4.6615895827564096</v>
      </c>
      <c r="AG12" s="96">
        <f t="shared" si="3"/>
        <v>0.50703335940220917</v>
      </c>
      <c r="AH12">
        <v>900</v>
      </c>
      <c r="AI12">
        <f t="shared" si="4"/>
        <v>18.736089873511887</v>
      </c>
      <c r="AJ12" s="37">
        <f t="shared" si="5"/>
        <v>1.8950557759744875</v>
      </c>
    </row>
    <row r="13" spans="1:41" x14ac:dyDescent="0.25">
      <c r="A13" t="s">
        <v>111</v>
      </c>
      <c r="T13" t="s">
        <v>5</v>
      </c>
      <c r="U13" s="1">
        <v>0.04</v>
      </c>
      <c r="V13" s="1"/>
      <c r="Y13" s="36">
        <v>1000</v>
      </c>
      <c r="Z13">
        <f t="shared" si="1"/>
        <v>44.308140463845234</v>
      </c>
      <c r="AA13">
        <f t="shared" si="6"/>
        <v>3.3571404638452549</v>
      </c>
      <c r="AB13" s="95">
        <v>1000</v>
      </c>
      <c r="AC13">
        <f t="shared" si="0"/>
        <v>8.3391475050258119</v>
      </c>
      <c r="AD13" s="96">
        <f t="shared" si="7"/>
        <v>0.80162007863683282</v>
      </c>
      <c r="AE13" s="95">
        <v>1000</v>
      </c>
      <c r="AF13">
        <f t="shared" si="2"/>
        <v>5.1659406776980887</v>
      </c>
      <c r="AG13" s="96">
        <f t="shared" si="3"/>
        <v>0.50435109494167918</v>
      </c>
      <c r="AH13">
        <v>1000</v>
      </c>
      <c r="AI13">
        <f t="shared" si="4"/>
        <v>20.587960451653743</v>
      </c>
      <c r="AJ13" s="37">
        <f t="shared" si="5"/>
        <v>1.8518705781418561</v>
      </c>
    </row>
    <row r="14" spans="1:41" x14ac:dyDescent="0.25">
      <c r="T14" t="s">
        <v>6</v>
      </c>
      <c r="U14" s="1">
        <v>0.12</v>
      </c>
      <c r="V14" s="1"/>
      <c r="Y14" s="36">
        <v>1100</v>
      </c>
      <c r="Z14">
        <f t="shared" si="1"/>
        <v>47.474415847943362</v>
      </c>
      <c r="AA14">
        <f t="shared" si="6"/>
        <v>3.1662753840981281</v>
      </c>
      <c r="AB14" s="95">
        <v>1100</v>
      </c>
      <c r="AC14">
        <f t="shared" si="0"/>
        <v>9.1338177938442673</v>
      </c>
      <c r="AD14" s="96">
        <f t="shared" si="7"/>
        <v>0.79467028881845536</v>
      </c>
      <c r="AE14" s="95">
        <v>1100</v>
      </c>
      <c r="AF14">
        <f t="shared" si="2"/>
        <v>5.6676236976649914</v>
      </c>
      <c r="AG14" s="96">
        <f t="shared" si="3"/>
        <v>0.50168301996690268</v>
      </c>
      <c r="AH14">
        <v>1100</v>
      </c>
      <c r="AI14">
        <f t="shared" si="4"/>
        <v>22.397629951446685</v>
      </c>
      <c r="AJ14" s="37">
        <f t="shared" si="5"/>
        <v>1.8096694997929426</v>
      </c>
    </row>
    <row r="15" spans="1:41" x14ac:dyDescent="0.25">
      <c r="T15" t="s">
        <v>7</v>
      </c>
      <c r="U15">
        <v>1210</v>
      </c>
      <c r="Y15" s="36">
        <v>1200</v>
      </c>
      <c r="Z15">
        <f t="shared" si="1"/>
        <v>50.460677494101262</v>
      </c>
      <c r="AA15">
        <f t="shared" si="6"/>
        <v>2.9862616461578995</v>
      </c>
      <c r="AB15" s="95">
        <v>1200</v>
      </c>
      <c r="AC15">
        <f t="shared" si="0"/>
        <v>9.921598545300359</v>
      </c>
      <c r="AD15" s="96">
        <f t="shared" si="7"/>
        <v>0.78778075145609172</v>
      </c>
      <c r="AE15" s="95">
        <v>1200</v>
      </c>
      <c r="AF15">
        <f t="shared" si="2"/>
        <v>6.1666527570788947</v>
      </c>
      <c r="AG15" s="96">
        <f t="shared" si="3"/>
        <v>0.4990290594139033</v>
      </c>
      <c r="AH15">
        <v>1200</v>
      </c>
      <c r="AI15">
        <f t="shared" si="4"/>
        <v>24.166060065913342</v>
      </c>
      <c r="AJ15" s="37">
        <f t="shared" si="5"/>
        <v>1.768430114466657</v>
      </c>
    </row>
    <row r="16" spans="1:41" x14ac:dyDescent="0.25">
      <c r="A16" t="s">
        <v>75</v>
      </c>
      <c r="B16" t="s">
        <v>76</v>
      </c>
      <c r="C16" t="s">
        <v>77</v>
      </c>
      <c r="D16" t="s">
        <v>78</v>
      </c>
      <c r="E16" t="s">
        <v>79</v>
      </c>
      <c r="F16" t="s">
        <v>80</v>
      </c>
      <c r="G16" t="s">
        <v>81</v>
      </c>
      <c r="I16" t="s">
        <v>88</v>
      </c>
      <c r="J16" t="s">
        <v>89</v>
      </c>
      <c r="K16" t="s">
        <v>90</v>
      </c>
      <c r="M16" t="s">
        <v>91</v>
      </c>
      <c r="N16" t="s">
        <v>92</v>
      </c>
      <c r="O16" t="s">
        <v>93</v>
      </c>
      <c r="T16" t="s">
        <v>224</v>
      </c>
      <c r="U16">
        <v>120.5</v>
      </c>
      <c r="Y16" s="36">
        <v>1300</v>
      </c>
      <c r="Z16">
        <f t="shared" si="1"/>
        <v>53.277159807705758</v>
      </c>
      <c r="AA16">
        <f t="shared" si="6"/>
        <v>2.8164823136044959</v>
      </c>
      <c r="AB16" s="95">
        <v>1300</v>
      </c>
      <c r="AC16">
        <f t="shared" si="0"/>
        <v>10.702549489480539</v>
      </c>
      <c r="AD16" s="96">
        <f t="shared" si="7"/>
        <v>0.78095094418018007</v>
      </c>
      <c r="AE16" s="95">
        <v>1300</v>
      </c>
      <c r="AF16">
        <f t="shared" si="2"/>
        <v>6.6630418956946329</v>
      </c>
      <c r="AG16" s="96">
        <f t="shared" si="3"/>
        <v>0.49638913861573819</v>
      </c>
      <c r="AH16">
        <v>1300</v>
      </c>
      <c r="AI16">
        <f t="shared" si="4"/>
        <v>25.894190572677335</v>
      </c>
      <c r="AJ16" s="37">
        <f t="shared" si="5"/>
        <v>1.7281305067639927</v>
      </c>
      <c r="AO16" s="106"/>
    </row>
    <row r="17" spans="1:41" x14ac:dyDescent="0.25">
      <c r="A17" t="s">
        <v>106</v>
      </c>
      <c r="B17" t="s">
        <v>106</v>
      </c>
      <c r="C17" t="s">
        <v>106</v>
      </c>
      <c r="D17" t="s">
        <v>106</v>
      </c>
      <c r="E17" t="s">
        <v>106</v>
      </c>
      <c r="F17" t="s">
        <v>106</v>
      </c>
      <c r="G17" t="s">
        <v>106</v>
      </c>
      <c r="I17" t="s">
        <v>106</v>
      </c>
      <c r="J17" t="s">
        <v>106</v>
      </c>
      <c r="K17" t="s">
        <v>106</v>
      </c>
      <c r="M17" t="s">
        <v>106</v>
      </c>
      <c r="N17" t="s">
        <v>106</v>
      </c>
      <c r="O17" t="s">
        <v>106</v>
      </c>
      <c r="T17" t="s">
        <v>225</v>
      </c>
      <c r="U17">
        <v>603</v>
      </c>
      <c r="Y17" s="36">
        <v>1400</v>
      </c>
      <c r="Z17">
        <f t="shared" si="1"/>
        <v>55.933515332698981</v>
      </c>
      <c r="AA17">
        <f t="shared" si="6"/>
        <v>2.6563555249932236</v>
      </c>
      <c r="AB17" s="95">
        <v>1400</v>
      </c>
      <c r="AC17">
        <f t="shared" si="0"/>
        <v>11.476729838630551</v>
      </c>
      <c r="AD17" s="96">
        <f t="shared" si="7"/>
        <v>0.77418034915001144</v>
      </c>
      <c r="AE17" s="95">
        <v>1400</v>
      </c>
      <c r="AF17">
        <f t="shared" si="2"/>
        <v>7.1568050789951769</v>
      </c>
      <c r="AG17" s="96">
        <f t="shared" si="3"/>
        <v>0.49376318330054403</v>
      </c>
      <c r="AH17">
        <v>1400</v>
      </c>
      <c r="AI17">
        <f t="shared" si="4"/>
        <v>27.582939833379172</v>
      </c>
      <c r="AJ17" s="37">
        <f t="shared" si="5"/>
        <v>1.6887492607018366</v>
      </c>
      <c r="AO17" s="106"/>
    </row>
    <row r="18" spans="1:41" x14ac:dyDescent="0.25">
      <c r="A18" t="s">
        <v>112</v>
      </c>
      <c r="C18" t="s">
        <v>110</v>
      </c>
      <c r="D18" t="s">
        <v>113</v>
      </c>
      <c r="F18" t="s">
        <v>111</v>
      </c>
      <c r="G18" t="s">
        <v>112</v>
      </c>
      <c r="I18" t="s">
        <v>112</v>
      </c>
      <c r="K18" t="s">
        <v>111</v>
      </c>
      <c r="T18" t="s">
        <v>230</v>
      </c>
      <c r="U18">
        <v>150</v>
      </c>
      <c r="Y18" s="36">
        <v>1500</v>
      </c>
      <c r="Z18">
        <f t="shared" si="1"/>
        <v>58.438847832419761</v>
      </c>
      <c r="AA18">
        <f t="shared" si="6"/>
        <v>2.5053324997207795</v>
      </c>
      <c r="AB18" s="95">
        <v>1500</v>
      </c>
      <c r="AC18">
        <f t="shared" si="0"/>
        <v>12.244198291644848</v>
      </c>
      <c r="AD18" s="96">
        <f t="shared" si="7"/>
        <v>0.76746845301429722</v>
      </c>
      <c r="AE18" s="95">
        <v>1500</v>
      </c>
      <c r="AF18">
        <f t="shared" si="2"/>
        <v>7.6479561985844713</v>
      </c>
      <c r="AG18" s="96">
        <f t="shared" si="3"/>
        <v>0.49115111958929436</v>
      </c>
      <c r="AH18">
        <v>1500</v>
      </c>
      <c r="AI18">
        <f t="shared" si="4"/>
        <v>29.233205281711093</v>
      </c>
      <c r="AJ18" s="37">
        <f t="shared" si="5"/>
        <v>1.6502654483319219</v>
      </c>
      <c r="AO18" s="106"/>
    </row>
    <row r="19" spans="1:41" x14ac:dyDescent="0.25">
      <c r="F19" t="s">
        <v>110</v>
      </c>
      <c r="T19" t="s">
        <v>227</v>
      </c>
      <c r="U19">
        <v>150</v>
      </c>
      <c r="Y19" s="36">
        <v>1600</v>
      </c>
      <c r="Z19">
        <f t="shared" si="1"/>
        <v>60.801743489684277</v>
      </c>
      <c r="AA19">
        <f t="shared" si="6"/>
        <v>2.3628956572645166</v>
      </c>
      <c r="AB19" s="95">
        <v>1600</v>
      </c>
      <c r="AC19">
        <f t="shared" si="0"/>
        <v>13.005013038517266</v>
      </c>
      <c r="AD19" s="96">
        <f t="shared" si="7"/>
        <v>0.76081474687241801</v>
      </c>
      <c r="AE19" s="95">
        <v>1600</v>
      </c>
      <c r="AF19">
        <f t="shared" si="2"/>
        <v>8.1365090725782796</v>
      </c>
      <c r="AG19" s="96">
        <f t="shared" si="3"/>
        <v>0.48855287399380831</v>
      </c>
      <c r="AH19">
        <v>1600</v>
      </c>
      <c r="AI19">
        <f t="shared" si="4"/>
        <v>30.845863900330627</v>
      </c>
      <c r="AJ19" s="37">
        <f t="shared" si="5"/>
        <v>1.612658618619534</v>
      </c>
      <c r="AO19" s="106"/>
    </row>
    <row r="20" spans="1:41" x14ac:dyDescent="0.25">
      <c r="T20" t="s">
        <v>233</v>
      </c>
      <c r="U20">
        <v>150</v>
      </c>
      <c r="Y20" s="36">
        <v>1700</v>
      </c>
      <c r="Z20">
        <f t="shared" si="1"/>
        <v>63.030300333034141</v>
      </c>
      <c r="AA20">
        <f t="shared" si="6"/>
        <v>2.2285568433498639</v>
      </c>
      <c r="AB20" s="95">
        <v>1700</v>
      </c>
      <c r="AC20">
        <f t="shared" si="0"/>
        <v>13.759231764752988</v>
      </c>
      <c r="AD20" s="96">
        <f t="shared" si="7"/>
        <v>0.75421872623572206</v>
      </c>
      <c r="AE20" s="95">
        <v>1700</v>
      </c>
      <c r="AF20">
        <f t="shared" si="2"/>
        <v>8.6224774459929705</v>
      </c>
      <c r="AG20" s="96">
        <f t="shared" si="3"/>
        <v>0.4859683734146909</v>
      </c>
      <c r="AH20">
        <v>1700</v>
      </c>
      <c r="AI20">
        <f t="shared" si="4"/>
        <v>32.421772686905889</v>
      </c>
      <c r="AJ20" s="37">
        <f t="shared" si="5"/>
        <v>1.5759087865752619</v>
      </c>
      <c r="AO20" s="106"/>
    </row>
    <row r="21" spans="1:41" x14ac:dyDescent="0.25">
      <c r="T21" t="s">
        <v>228</v>
      </c>
      <c r="U21">
        <v>220</v>
      </c>
      <c r="W21" s="2"/>
      <c r="Y21" s="36">
        <v>1800</v>
      </c>
      <c r="Z21">
        <f t="shared" si="1"/>
        <v>65.132155989999987</v>
      </c>
      <c r="AA21">
        <f t="shared" si="6"/>
        <v>2.1018556569658458</v>
      </c>
      <c r="AB21" s="95">
        <v>1800</v>
      </c>
      <c r="AC21">
        <f t="shared" si="0"/>
        <v>14.506911655742293</v>
      </c>
      <c r="AD21" s="96">
        <f t="shared" si="7"/>
        <v>0.74767989098930521</v>
      </c>
      <c r="AE21" s="95">
        <v>1800</v>
      </c>
      <c r="AF21">
        <f t="shared" si="2"/>
        <v>9.1058749911321897</v>
      </c>
      <c r="AG21" s="96">
        <f t="shared" si="3"/>
        <v>0.48339754513921918</v>
      </c>
      <c r="AH21">
        <v>1800</v>
      </c>
      <c r="AI21">
        <f t="shared" si="4"/>
        <v>33.961769109540619</v>
      </c>
      <c r="AJ21" s="37">
        <f t="shared" si="5"/>
        <v>1.5399964226347294</v>
      </c>
      <c r="AO21" s="106"/>
    </row>
    <row r="22" spans="1:41" x14ac:dyDescent="0.25">
      <c r="A22" t="s">
        <v>68</v>
      </c>
      <c r="B22" t="s">
        <v>69</v>
      </c>
      <c r="C22" t="s">
        <v>70</v>
      </c>
      <c r="D22" t="s">
        <v>71</v>
      </c>
      <c r="E22" t="s">
        <v>72</v>
      </c>
      <c r="F22" t="s">
        <v>73</v>
      </c>
      <c r="G22" t="s">
        <v>74</v>
      </c>
      <c r="I22" t="s">
        <v>97</v>
      </c>
      <c r="J22" t="s">
        <v>98</v>
      </c>
      <c r="K22" t="s">
        <v>99</v>
      </c>
      <c r="M22" t="s">
        <v>94</v>
      </c>
      <c r="N22" t="s">
        <v>95</v>
      </c>
      <c r="O22" t="s">
        <v>96</v>
      </c>
      <c r="T22" t="s">
        <v>235</v>
      </c>
      <c r="U22">
        <v>150</v>
      </c>
      <c r="Y22" s="36">
        <v>1900</v>
      </c>
      <c r="Z22">
        <f t="shared" si="1"/>
        <v>67.114513862495954</v>
      </c>
      <c r="AA22">
        <f t="shared" si="6"/>
        <v>1.9823578724959674</v>
      </c>
      <c r="AB22" s="95">
        <v>1900</v>
      </c>
      <c r="AC22">
        <f t="shared" si="0"/>
        <v>15.248109401096432</v>
      </c>
      <c r="AD22" s="96">
        <f t="shared" si="7"/>
        <v>0.74119774535413896</v>
      </c>
      <c r="AE22" s="95">
        <v>1900</v>
      </c>
      <c r="AF22">
        <f t="shared" si="2"/>
        <v>9.5867153079715486</v>
      </c>
      <c r="AG22" s="96">
        <f t="shared" si="3"/>
        <v>0.48084031683935891</v>
      </c>
      <c r="AH22">
        <v>1900</v>
      </c>
      <c r="AI22">
        <f t="shared" si="4"/>
        <v>35.466671551820696</v>
      </c>
      <c r="AJ22" s="37">
        <f t="shared" si="5"/>
        <v>1.504902442280077</v>
      </c>
      <c r="AO22" s="106"/>
    </row>
    <row r="23" spans="1:41" x14ac:dyDescent="0.25">
      <c r="A23" t="s">
        <v>106</v>
      </c>
      <c r="B23" t="s">
        <v>106</v>
      </c>
      <c r="C23" t="s">
        <v>106</v>
      </c>
      <c r="D23" t="s">
        <v>106</v>
      </c>
      <c r="E23" t="s">
        <v>106</v>
      </c>
      <c r="F23" t="s">
        <v>106</v>
      </c>
      <c r="G23" t="s">
        <v>106</v>
      </c>
      <c r="I23" t="s">
        <v>106</v>
      </c>
      <c r="J23" t="s">
        <v>106</v>
      </c>
      <c r="K23" t="s">
        <v>106</v>
      </c>
      <c r="M23" t="s">
        <v>106</v>
      </c>
      <c r="N23" t="s">
        <v>106</v>
      </c>
      <c r="O23" t="s">
        <v>106</v>
      </c>
      <c r="T23" t="s">
        <v>234</v>
      </c>
      <c r="U23">
        <v>350</v>
      </c>
      <c r="Y23" s="36">
        <v>2000</v>
      </c>
      <c r="Z23">
        <f t="shared" si="1"/>
        <v>68.984167814052071</v>
      </c>
      <c r="AA23">
        <f t="shared" si="6"/>
        <v>1.869653951556117</v>
      </c>
      <c r="AB23" s="95">
        <v>2000</v>
      </c>
      <c r="AC23">
        <f t="shared" si="0"/>
        <v>15.982881198945842</v>
      </c>
      <c r="AD23" s="96">
        <f t="shared" si="7"/>
        <v>0.73477179784940994</v>
      </c>
      <c r="AE23" s="95">
        <v>2000</v>
      </c>
      <c r="AF23">
        <f t="shared" si="2"/>
        <v>10.065011924541222</v>
      </c>
      <c r="AG23" s="96">
        <f t="shared" si="3"/>
        <v>0.47829661656967382</v>
      </c>
      <c r="AH23">
        <v>2000</v>
      </c>
      <c r="AI23">
        <f t="shared" si="4"/>
        <v>36.937279747718897</v>
      </c>
      <c r="AJ23" s="37">
        <f t="shared" si="5"/>
        <v>1.4706081958982011</v>
      </c>
      <c r="AO23" s="106"/>
    </row>
    <row r="24" spans="1:41" x14ac:dyDescent="0.25">
      <c r="G24" t="s">
        <v>115</v>
      </c>
      <c r="I24" t="s">
        <v>115</v>
      </c>
      <c r="J24" t="s">
        <v>108</v>
      </c>
      <c r="K24" t="s">
        <v>107</v>
      </c>
      <c r="T24" t="s">
        <v>229</v>
      </c>
      <c r="U24">
        <v>350</v>
      </c>
      <c r="Y24" s="36">
        <v>2100</v>
      </c>
      <c r="Z24">
        <f t="shared" si="1"/>
        <v>70.747525453491846</v>
      </c>
      <c r="AA24">
        <f t="shared" si="6"/>
        <v>1.763357639439775</v>
      </c>
      <c r="AB24" s="95">
        <v>2100</v>
      </c>
      <c r="AC24">
        <f t="shared" si="0"/>
        <v>16.711282760201108</v>
      </c>
      <c r="AD24" s="96">
        <f t="shared" si="7"/>
        <v>0.72840156125526612</v>
      </c>
      <c r="AE24" s="95">
        <v>2100</v>
      </c>
      <c r="AF24">
        <f t="shared" si="2"/>
        <v>10.540778297306552</v>
      </c>
      <c r="AG24" s="96">
        <f t="shared" si="3"/>
        <v>0.47576637276532985</v>
      </c>
      <c r="AH24">
        <v>2100</v>
      </c>
      <c r="AI24">
        <f t="shared" si="4"/>
        <v>38.37437520658883</v>
      </c>
      <c r="AJ24" s="37">
        <f t="shared" si="5"/>
        <v>1.4370954588699334</v>
      </c>
      <c r="AO24" s="106"/>
    </row>
    <row r="25" spans="1:41" x14ac:dyDescent="0.25">
      <c r="G25" t="s">
        <v>114</v>
      </c>
      <c r="T25" t="s">
        <v>226</v>
      </c>
      <c r="U25">
        <v>350</v>
      </c>
      <c r="Y25" s="36">
        <v>2200</v>
      </c>
      <c r="Z25">
        <f t="shared" si="1"/>
        <v>72.410630094852152</v>
      </c>
      <c r="AA25">
        <f t="shared" si="6"/>
        <v>1.6631046413603059</v>
      </c>
      <c r="AB25" s="95">
        <v>2200</v>
      </c>
      <c r="AC25">
        <f t="shared" si="0"/>
        <v>17.433369312777071</v>
      </c>
      <c r="AD25" s="96">
        <f t="shared" si="7"/>
        <v>0.72208655257596277</v>
      </c>
      <c r="AE25" s="95">
        <v>2200</v>
      </c>
      <c r="AF25">
        <f t="shared" si="2"/>
        <v>11.014027811546656</v>
      </c>
      <c r="AG25" s="96">
        <f t="shared" si="3"/>
        <v>0.47324951424010386</v>
      </c>
      <c r="AH25">
        <v>2200</v>
      </c>
      <c r="AI25">
        <f t="shared" si="4"/>
        <v>39.77872162847396</v>
      </c>
      <c r="AJ25" s="37">
        <f t="shared" si="5"/>
        <v>1.4043464218851298</v>
      </c>
      <c r="AO25" s="106"/>
    </row>
    <row r="26" spans="1:41" ht="15.75" thickBot="1" x14ac:dyDescent="0.3">
      <c r="T26" t="s">
        <v>231</v>
      </c>
      <c r="U26">
        <v>350</v>
      </c>
      <c r="Y26" s="36">
        <v>2300</v>
      </c>
      <c r="Z26">
        <f t="shared" si="1"/>
        <v>73.979181468805422</v>
      </c>
      <c r="AA26">
        <f t="shared" si="6"/>
        <v>1.5685513739532695</v>
      </c>
      <c r="AB26" s="95">
        <v>2300</v>
      </c>
      <c r="AC26">
        <f t="shared" si="0"/>
        <v>18.149195605780189</v>
      </c>
      <c r="AD26" s="96">
        <f t="shared" si="7"/>
        <v>0.71582629300311851</v>
      </c>
      <c r="AE26" s="95">
        <v>2300</v>
      </c>
      <c r="AF26">
        <f t="shared" si="2"/>
        <v>11.484773781730972</v>
      </c>
      <c r="AG26" s="96">
        <f t="shared" si="3"/>
        <v>0.47074597018431596</v>
      </c>
      <c r="AH26">
        <v>2300</v>
      </c>
      <c r="AI26">
        <f t="shared" si="4"/>
        <v>41.151065309952415</v>
      </c>
      <c r="AJ26" s="37">
        <f t="shared" si="5"/>
        <v>1.3723436814784549</v>
      </c>
      <c r="AO26" s="106"/>
    </row>
    <row r="27" spans="1:41" x14ac:dyDescent="0.25">
      <c r="A27" s="13">
        <v>1</v>
      </c>
      <c r="B27" s="14">
        <v>2</v>
      </c>
      <c r="C27" s="14">
        <v>3</v>
      </c>
      <c r="D27" s="14">
        <v>4</v>
      </c>
      <c r="E27" s="14">
        <v>5</v>
      </c>
      <c r="F27" s="14">
        <v>6</v>
      </c>
      <c r="G27" s="14">
        <v>7</v>
      </c>
      <c r="H27" s="14">
        <v>8</v>
      </c>
      <c r="I27" s="14">
        <v>9</v>
      </c>
      <c r="J27" s="15">
        <v>10</v>
      </c>
      <c r="T27" t="s">
        <v>232</v>
      </c>
      <c r="U27">
        <v>242</v>
      </c>
      <c r="Y27" s="36">
        <v>2400</v>
      </c>
      <c r="Z27">
        <f t="shared" si="1"/>
        <v>75.458555256565546</v>
      </c>
      <c r="AA27">
        <f t="shared" si="6"/>
        <v>1.4793737877601245</v>
      </c>
      <c r="AB27" s="95">
        <v>2400</v>
      </c>
      <c r="AC27">
        <f t="shared" si="0"/>
        <v>18.858815913659644</v>
      </c>
      <c r="AD27" s="96">
        <f t="shared" si="7"/>
        <v>0.70962030787945451</v>
      </c>
      <c r="AE27" s="95">
        <v>2400</v>
      </c>
      <c r="AF27">
        <f t="shared" si="2"/>
        <v>11.953029451893894</v>
      </c>
      <c r="AG27" s="96">
        <f t="shared" si="3"/>
        <v>0.46825567016292169</v>
      </c>
      <c r="AH27">
        <v>2400</v>
      </c>
      <c r="AI27">
        <f t="shared" si="4"/>
        <v>42.492135540733358</v>
      </c>
      <c r="AJ27" s="37">
        <f t="shared" si="5"/>
        <v>1.341070230780943</v>
      </c>
      <c r="AO27" s="106"/>
    </row>
    <row r="28" spans="1:41" ht="15.75" thickBot="1" x14ac:dyDescent="0.3">
      <c r="A28" s="16" t="str">
        <f ca="1">TRIM(MID(SUBSTITUTE('Offensive Stats'!$G2,",",REPT(" ",LEN('Offensive Stats'!$G2))),(A$27-1)*LEN('Offensive Stats'!$G2)+1,LEN('Offensive Stats'!$G2)))</f>
        <v>Melee Damage</v>
      </c>
      <c r="B28" s="17" t="str">
        <f ca="1">TRIM(MID(SUBSTITUTE('Offensive Stats'!$G2,",",REPT(" ",LEN('Offensive Stats'!$G2))),(B$27-1)*LEN('Offensive Stats'!$G2)+1,LEN('Offensive Stats'!$G2)))</f>
        <v>Fire Damage</v>
      </c>
      <c r="C28" s="17" t="str">
        <f ca="1">TRIM(MID(SUBSTITUTE('Offensive Stats'!$G2,",",REPT(" ",LEN('Offensive Stats'!$G2))),(C$27-1)*LEN('Offensive Stats'!$G2)+1,LEN('Offensive Stats'!$G2)))</f>
        <v>Elemental Damage</v>
      </c>
      <c r="D28" s="17" t="str">
        <f ca="1">TRIM(MID(SUBSTITUTE('Offensive Stats'!$G2,",",REPT(" ",LEN('Offensive Stats'!$G2))),(D$27-1)*LEN('Offensive Stats'!$G2)+1,LEN('Offensive Stats'!$G2)))</f>
        <v>Direct Damage</v>
      </c>
      <c r="E28" s="17" t="str">
        <f ca="1">TRIM(MID(SUBSTITUTE('Offensive Stats'!$G2,",",REPT(" ",LEN('Offensive Stats'!$G2))),(E$27-1)*LEN('Offensive Stats'!$G2)+1,LEN('Offensive Stats'!$G2)))</f>
        <v/>
      </c>
      <c r="F28" s="17" t="str">
        <f ca="1">TRIM(MID(SUBSTITUTE('Offensive Stats'!$G2,",",REPT(" ",LEN('Offensive Stats'!$G2))),(F$27-1)*LEN('Offensive Stats'!$G2)+1,LEN('Offensive Stats'!$G2)))</f>
        <v/>
      </c>
      <c r="G28" s="17" t="str">
        <f ca="1">TRIM(MID(SUBSTITUTE('Offensive Stats'!$G2,",",REPT(" ",LEN('Offensive Stats'!$G2))),(G$27-1)*LEN('Offensive Stats'!$G2)+1,LEN('Offensive Stats'!$G2)))</f>
        <v/>
      </c>
      <c r="H28" s="17" t="str">
        <f ca="1">TRIM(MID(SUBSTITUTE('Offensive Stats'!$G2,",",REPT(" ",LEN('Offensive Stats'!$G2))),(H$27-1)*LEN('Offensive Stats'!$G2)+1,LEN('Offensive Stats'!$G2)))</f>
        <v/>
      </c>
      <c r="I28" s="17" t="str">
        <f ca="1">TRIM(MID(SUBSTITUTE('Offensive Stats'!$G2,",",REPT(" ",LEN('Offensive Stats'!$G2))),(I$27-1)*LEN('Offensive Stats'!$G2)+1,LEN('Offensive Stats'!$G2)))</f>
        <v/>
      </c>
      <c r="J28" s="18" t="str">
        <f ca="1">TRIM(MID(SUBSTITUTE('Offensive Stats'!$G2,",",REPT(" ",LEN('Offensive Stats'!$G2))),(J$27-1)*LEN('Offensive Stats'!$G2)+1,LEN('Offensive Stats'!$G2)))</f>
        <v/>
      </c>
      <c r="L28" s="107"/>
      <c r="Y28" s="36">
        <v>2500</v>
      </c>
      <c r="Z28">
        <f t="shared" si="1"/>
        <v>76.853821513223664</v>
      </c>
      <c r="AA28">
        <f t="shared" si="6"/>
        <v>1.3952662566581182</v>
      </c>
      <c r="AB28" s="95">
        <v>2500</v>
      </c>
      <c r="AC28">
        <f t="shared" si="0"/>
        <v>19.562284040322542</v>
      </c>
      <c r="AD28" s="96">
        <f t="shared" si="7"/>
        <v>0.70346812666289793</v>
      </c>
      <c r="AE28" s="95">
        <v>2500</v>
      </c>
      <c r="AF28">
        <f t="shared" si="2"/>
        <v>12.418807996007352</v>
      </c>
      <c r="AG28" s="96">
        <f t="shared" si="3"/>
        <v>0.46577854411345854</v>
      </c>
      <c r="AH28">
        <v>2500</v>
      </c>
      <c r="AI28">
        <f t="shared" si="4"/>
        <v>43.802644991215402</v>
      </c>
      <c r="AJ28" s="37">
        <f t="shared" si="5"/>
        <v>1.3105094504820443</v>
      </c>
      <c r="AO28" s="106"/>
    </row>
    <row r="29" spans="1:41" x14ac:dyDescent="0.25">
      <c r="A29" s="13">
        <v>1</v>
      </c>
      <c r="B29" s="14">
        <v>2</v>
      </c>
      <c r="C29" s="14">
        <v>3</v>
      </c>
      <c r="D29" s="14">
        <v>4</v>
      </c>
      <c r="E29" s="14">
        <v>5</v>
      </c>
      <c r="F29" s="14">
        <v>6</v>
      </c>
      <c r="G29" s="14">
        <v>7</v>
      </c>
      <c r="H29" s="14">
        <v>8</v>
      </c>
      <c r="I29" s="14">
        <v>9</v>
      </c>
      <c r="J29" s="15">
        <v>10</v>
      </c>
      <c r="Y29" s="36">
        <v>2600</v>
      </c>
      <c r="Z29">
        <f t="shared" si="1"/>
        <v>78.169762043653321</v>
      </c>
      <c r="AA29">
        <f t="shared" si="6"/>
        <v>1.315940530429657</v>
      </c>
      <c r="AB29" s="95">
        <v>2600</v>
      </c>
      <c r="AC29">
        <f t="shared" si="0"/>
        <v>20.259653323213289</v>
      </c>
      <c r="AD29" s="96">
        <f t="shared" si="7"/>
        <v>0.6973692828907474</v>
      </c>
      <c r="AE29" s="95">
        <v>2600</v>
      </c>
      <c r="AF29">
        <f t="shared" si="2"/>
        <v>12.882122518351458</v>
      </c>
      <c r="AG29" s="96">
        <f t="shared" si="3"/>
        <v>0.46331452234410619</v>
      </c>
      <c r="AH29">
        <v>2600</v>
      </c>
      <c r="AI29">
        <f t="shared" si="4"/>
        <v>45.083290091213357</v>
      </c>
      <c r="AJ29" s="37">
        <f t="shared" si="5"/>
        <v>1.2806450999979546</v>
      </c>
      <c r="AO29" s="106"/>
    </row>
    <row r="30" spans="1:41" ht="15.75" thickBot="1" x14ac:dyDescent="0.3">
      <c r="A30" s="16" t="str">
        <f ca="1">TRIM(MID(SUBSTITUTE('Offensive Stats'!$G12,",",REPT(" ",LEN('Offensive Stats'!$G12))),(A$27-1)*LEN('Offensive Stats'!$G12)+1,LEN('Offensive Stats'!$G12)))</f>
        <v>Fire Damage</v>
      </c>
      <c r="B30" s="17" t="str">
        <f ca="1">TRIM(MID(SUBSTITUTE('Offensive Stats'!$G12,",",REPT(" ",LEN('Offensive Stats'!$G12))),(B$27-1)*LEN('Offensive Stats'!$G12)+1,LEN('Offensive Stats'!$G12)))</f>
        <v>Elemental Damage</v>
      </c>
      <c r="C30" s="17" t="str">
        <f ca="1">TRIM(MID(SUBSTITUTE('Offensive Stats'!$G12,",",REPT(" ",LEN('Offensive Stats'!$G12))),(C$27-1)*LEN('Offensive Stats'!$G12)+1,LEN('Offensive Stats'!$G12)))</f>
        <v>Area Damage</v>
      </c>
      <c r="D30" s="17" t="str">
        <f ca="1">TRIM(MID(SUBSTITUTE('Offensive Stats'!$G12,",",REPT(" ",LEN('Offensive Stats'!$G12))),(D$27-1)*LEN('Offensive Stats'!$G12)+1,LEN('Offensive Stats'!$G12)))</f>
        <v/>
      </c>
      <c r="E30" s="17" t="str">
        <f ca="1">TRIM(MID(SUBSTITUTE('Offensive Stats'!$G12,",",REPT(" ",LEN('Offensive Stats'!$G12))),(E$27-1)*LEN('Offensive Stats'!$G12)+1,LEN('Offensive Stats'!$G12)))</f>
        <v/>
      </c>
      <c r="F30" s="17" t="str">
        <f ca="1">TRIM(MID(SUBSTITUTE('Offensive Stats'!$G12,",",REPT(" ",LEN('Offensive Stats'!$G12))),(F$27-1)*LEN('Offensive Stats'!$G12)+1,LEN('Offensive Stats'!$G12)))</f>
        <v/>
      </c>
      <c r="G30" s="17" t="str">
        <f ca="1">TRIM(MID(SUBSTITUTE('Offensive Stats'!$G12,",",REPT(" ",LEN('Offensive Stats'!$G12))),(G$27-1)*LEN('Offensive Stats'!$G12)+1,LEN('Offensive Stats'!$G12)))</f>
        <v/>
      </c>
      <c r="H30" s="17" t="str">
        <f ca="1">TRIM(MID(SUBSTITUTE('Offensive Stats'!$G12,",",REPT(" ",LEN('Offensive Stats'!$G12))),(H$27-1)*LEN('Offensive Stats'!$G12)+1,LEN('Offensive Stats'!$G12)))</f>
        <v/>
      </c>
      <c r="I30" s="17" t="str">
        <f ca="1">TRIM(MID(SUBSTITUTE('Offensive Stats'!$G12,",",REPT(" ",LEN('Offensive Stats'!$G12))),(I$27-1)*LEN('Offensive Stats'!$G12)+1,LEN('Offensive Stats'!$G12)))</f>
        <v/>
      </c>
      <c r="J30" s="18" t="str">
        <f ca="1">TRIM(MID(SUBSTITUTE('Offensive Stats'!$G12,",",REPT(" ",LEN('Offensive Stats'!$G12))),(J$27-1)*LEN('Offensive Stats'!$G12)+1,LEN('Offensive Stats'!$G12)))</f>
        <v/>
      </c>
      <c r="Y30" s="36">
        <v>2700</v>
      </c>
      <c r="Z30">
        <f t="shared" si="1"/>
        <v>79.410886790535088</v>
      </c>
      <c r="AA30">
        <f t="shared" si="6"/>
        <v>1.2411247468817663</v>
      </c>
      <c r="AB30" s="95">
        <v>2700</v>
      </c>
      <c r="AC30">
        <f t="shared" si="0"/>
        <v>20.950976637357677</v>
      </c>
      <c r="AD30" s="96">
        <f t="shared" si="7"/>
        <v>0.69132331414438752</v>
      </c>
      <c r="AE30" s="95">
        <v>2700</v>
      </c>
      <c r="AF30">
        <f t="shared" si="2"/>
        <v>13.342986053883166</v>
      </c>
      <c r="AG30" s="96">
        <f t="shared" si="3"/>
        <v>0.46086353553170767</v>
      </c>
      <c r="AH30">
        <v>2700</v>
      </c>
      <c r="AI30">
        <f t="shared" si="4"/>
        <v>46.334751400054373</v>
      </c>
      <c r="AJ30" s="37">
        <f t="shared" si="5"/>
        <v>1.2514613088410158</v>
      </c>
      <c r="AO30" s="106"/>
    </row>
    <row r="31" spans="1:41" x14ac:dyDescent="0.25">
      <c r="Y31" s="36">
        <v>2800</v>
      </c>
      <c r="Z31">
        <f t="shared" si="1"/>
        <v>80.581449290665248</v>
      </c>
      <c r="AA31">
        <f>Z31-Z30</f>
        <v>1.1705625001301598</v>
      </c>
      <c r="AB31" s="95">
        <v>2800</v>
      </c>
      <c r="AC31">
        <f t="shared" si="0"/>
        <v>21.636306399371975</v>
      </c>
      <c r="AD31" s="96">
        <f t="shared" si="7"/>
        <v>0.68532976201429818</v>
      </c>
      <c r="AE31" s="95">
        <v>2800</v>
      </c>
      <c r="AF31">
        <f t="shared" si="2"/>
        <v>13.801411568603051</v>
      </c>
      <c r="AG31" s="96">
        <f t="shared" si="3"/>
        <v>0.45842551471988457</v>
      </c>
      <c r="AH31">
        <v>2800</v>
      </c>
      <c r="AI31">
        <f t="shared" si="4"/>
        <v>47.55769396824018</v>
      </c>
      <c r="AJ31" s="37">
        <f t="shared" si="5"/>
        <v>1.2229425681858075</v>
      </c>
      <c r="AO31" s="106"/>
    </row>
    <row r="32" spans="1:41" x14ac:dyDescent="0.25">
      <c r="A32" t="s">
        <v>116</v>
      </c>
      <c r="C32" s="1">
        <v>1</v>
      </c>
      <c r="E32" s="26" t="s">
        <v>7</v>
      </c>
      <c r="F32" s="27" t="s">
        <v>23</v>
      </c>
      <c r="G32" s="26"/>
      <c r="H32" s="26"/>
      <c r="I32" s="26"/>
      <c r="J32" s="26"/>
      <c r="K32" s="26"/>
      <c r="L32" s="26"/>
      <c r="M32" s="26"/>
      <c r="Y32" s="36">
        <v>2900</v>
      </c>
      <c r="Z32">
        <f t="shared" si="1"/>
        <v>81.685461252519616</v>
      </c>
      <c r="AA32">
        <f t="shared" si="6"/>
        <v>1.1040119618543685</v>
      </c>
      <c r="AB32" s="95">
        <v>2900</v>
      </c>
      <c r="AC32">
        <f t="shared" si="0"/>
        <v>22.315694571437106</v>
      </c>
      <c r="AD32" s="96">
        <f t="shared" si="7"/>
        <v>0.67938817206513136</v>
      </c>
      <c r="AE32" s="95">
        <v>2900</v>
      </c>
      <c r="AF32">
        <f t="shared" si="2"/>
        <v>14.257411959920031</v>
      </c>
      <c r="AG32" s="96">
        <f t="shared" si="3"/>
        <v>0.45600039131698011</v>
      </c>
      <c r="AH32">
        <v>2900</v>
      </c>
      <c r="AI32">
        <f t="shared" si="4"/>
        <v>48.752767690867671</v>
      </c>
      <c r="AJ32" s="37">
        <f t="shared" si="5"/>
        <v>1.195073722627491</v>
      </c>
      <c r="AO32" s="106"/>
    </row>
    <row r="33" spans="1:41" x14ac:dyDescent="0.25">
      <c r="A33" t="s">
        <v>118</v>
      </c>
      <c r="B33" s="1">
        <f>'Offensive Stats'!B22+'Offensive Stats'!B23+'Offensive Stats'!B32</f>
        <v>1</v>
      </c>
      <c r="C33" s="1">
        <v>1</v>
      </c>
      <c r="E33" s="26" t="s">
        <v>22</v>
      </c>
      <c r="F33" s="26">
        <v>121</v>
      </c>
      <c r="G33" s="26" t="s">
        <v>9</v>
      </c>
      <c r="H33" s="27" t="s">
        <v>25</v>
      </c>
      <c r="I33" s="26" t="s">
        <v>26</v>
      </c>
      <c r="J33" s="26"/>
      <c r="K33" s="26"/>
      <c r="L33" s="26"/>
      <c r="M33" s="26"/>
      <c r="X33" s="3"/>
      <c r="Y33" s="100">
        <v>3000</v>
      </c>
      <c r="Z33" s="35">
        <f t="shared" si="1"/>
        <v>82.726706305032408</v>
      </c>
      <c r="AA33" s="35">
        <f t="shared" si="6"/>
        <v>1.0412450525127923</v>
      </c>
      <c r="AB33" s="95">
        <v>3000</v>
      </c>
      <c r="AC33">
        <f t="shared" si="0"/>
        <v>22.989192665238523</v>
      </c>
      <c r="AD33" s="96">
        <f t="shared" si="7"/>
        <v>0.67349809380141679</v>
      </c>
      <c r="AE33" s="95">
        <v>3000</v>
      </c>
      <c r="AF33">
        <f t="shared" si="2"/>
        <v>14.711000057014278</v>
      </c>
      <c r="AG33" s="96">
        <f t="shared" si="3"/>
        <v>0.45358809709424719</v>
      </c>
      <c r="AH33">
        <v>3000</v>
      </c>
      <c r="AI33">
        <f t="shared" si="4"/>
        <v>49.920607652995564</v>
      </c>
      <c r="AJ33" s="37">
        <f t="shared" si="5"/>
        <v>1.1678399621278928</v>
      </c>
      <c r="AO33" s="106"/>
    </row>
    <row r="34" spans="1:41" x14ac:dyDescent="0.25">
      <c r="A34" t="s">
        <v>119</v>
      </c>
      <c r="B34" s="1">
        <f>'Offensive Stats'!B22+'Offensive Stats'!B23+'Offensive Stats'!B30+'Offensive Stats'!B32</f>
        <v>1</v>
      </c>
      <c r="E34" s="26"/>
      <c r="F34" s="26"/>
      <c r="G34" s="26"/>
      <c r="H34" s="26"/>
      <c r="I34" s="26" t="s">
        <v>27</v>
      </c>
      <c r="J34" s="26"/>
      <c r="K34" s="26"/>
      <c r="L34" s="26"/>
      <c r="M34" s="26"/>
      <c r="Y34" s="36">
        <v>3100</v>
      </c>
      <c r="Z34">
        <f t="shared" si="1"/>
        <v>83.708752964709248</v>
      </c>
      <c r="AA34">
        <f t="shared" si="6"/>
        <v>0.98204665967683979</v>
      </c>
      <c r="AB34" s="95">
        <v>3100</v>
      </c>
      <c r="AC34">
        <f t="shared" si="0"/>
        <v>23.656851745871798</v>
      </c>
      <c r="AD34" s="96">
        <f t="shared" si="7"/>
        <v>0.66765908063327473</v>
      </c>
      <c r="AE34" s="95">
        <v>3100</v>
      </c>
      <c r="AF34">
        <f t="shared" si="2"/>
        <v>15.162188621198114</v>
      </c>
      <c r="AG34" s="96">
        <f t="shared" si="3"/>
        <v>0.45118856418383579</v>
      </c>
      <c r="AH34">
        <v>3100</v>
      </c>
      <c r="AI34">
        <f t="shared" si="4"/>
        <v>51.061834467140841</v>
      </c>
      <c r="AJ34" s="37">
        <f t="shared" si="5"/>
        <v>1.141226814145277</v>
      </c>
      <c r="AO34" s="106"/>
    </row>
    <row r="35" spans="1:41" x14ac:dyDescent="0.25">
      <c r="A35" t="s">
        <v>120</v>
      </c>
      <c r="B35" s="1">
        <f>'Offensive Stats'!B22+'Offensive Stats'!B23+'Offensive Stats'!B28+'Offensive Stats'!B32</f>
        <v>1</v>
      </c>
      <c r="X35" s="3"/>
      <c r="Y35" s="36">
        <v>3200</v>
      </c>
      <c r="Z35">
        <f t="shared" si="1"/>
        <v>84.634966865514912</v>
      </c>
      <c r="AA35">
        <f t="shared" si="6"/>
        <v>0.92621390080566357</v>
      </c>
      <c r="AB35" s="95">
        <v>3200</v>
      </c>
      <c r="AC35">
        <f t="shared" si="0"/>
        <v>24.318722435714502</v>
      </c>
      <c r="AD35" s="96">
        <f t="shared" si="7"/>
        <v>0.66187068984270425</v>
      </c>
      <c r="AE35" s="95">
        <v>3200</v>
      </c>
      <c r="AF35">
        <f t="shared" si="2"/>
        <v>15.610990346275077</v>
      </c>
      <c r="AG35" s="96">
        <f t="shared" si="3"/>
        <v>0.44880172507696336</v>
      </c>
      <c r="AH35">
        <v>3200</v>
      </c>
      <c r="AI35">
        <f t="shared" si="4"/>
        <v>52.177054603084052</v>
      </c>
      <c r="AJ35" s="37">
        <f t="shared" si="5"/>
        <v>1.1152201359432112</v>
      </c>
      <c r="AO35" s="106"/>
    </row>
    <row r="36" spans="1:41" x14ac:dyDescent="0.25">
      <c r="Y36" s="36">
        <v>3300</v>
      </c>
      <c r="Z36">
        <f t="shared" si="1"/>
        <v>85.508522293449388</v>
      </c>
      <c r="AA36">
        <f t="shared" si="6"/>
        <v>0.87355542793447682</v>
      </c>
      <c r="AB36" s="95">
        <v>3300</v>
      </c>
      <c r="AC36">
        <f t="shared" si="0"/>
        <v>24.97485491826432</v>
      </c>
      <c r="AD36" s="96">
        <f t="shared" si="7"/>
        <v>0.65613248254981826</v>
      </c>
      <c r="AE36" s="95">
        <v>3300</v>
      </c>
      <c r="AF36">
        <f t="shared" si="2"/>
        <v>16.057417858897015</v>
      </c>
      <c r="AG36" s="96">
        <f t="shared" si="3"/>
        <v>0.44642751262193769</v>
      </c>
      <c r="AH36">
        <v>3300</v>
      </c>
      <c r="AI36">
        <f t="shared" si="4"/>
        <v>53.266860710158959</v>
      </c>
      <c r="AJ36" s="37">
        <f t="shared" si="5"/>
        <v>1.0898061070749065</v>
      </c>
      <c r="AO36" s="106"/>
    </row>
    <row r="37" spans="1:41" x14ac:dyDescent="0.25">
      <c r="A37" t="s">
        <v>140</v>
      </c>
      <c r="C37" s="1">
        <v>0.5</v>
      </c>
      <c r="Y37" s="36">
        <v>3400</v>
      </c>
      <c r="Z37">
        <f t="shared" si="1"/>
        <v>86.332413065343445</v>
      </c>
      <c r="AA37">
        <f t="shared" si="6"/>
        <v>0.82389077189405668</v>
      </c>
      <c r="AB37" s="95">
        <v>3400</v>
      </c>
      <c r="AC37">
        <f t="shared" si="0"/>
        <v>25.625298941944095</v>
      </c>
      <c r="AD37" s="96">
        <f t="shared" si="7"/>
        <v>0.65044402367977483</v>
      </c>
      <c r="AE37" s="95">
        <v>3400</v>
      </c>
      <c r="AF37">
        <f t="shared" si="2"/>
        <v>16.501483718919363</v>
      </c>
      <c r="AG37" s="96">
        <f t="shared" si="3"/>
        <v>0.4440658600223486</v>
      </c>
      <c r="AH37">
        <v>3400</v>
      </c>
      <c r="AI37">
        <f t="shared" si="4"/>
        <v>54.331831932197815</v>
      </c>
      <c r="AJ37" s="37">
        <f t="shared" si="5"/>
        <v>1.0649712220388565</v>
      </c>
      <c r="AO37" s="106"/>
    </row>
    <row r="38" spans="1:41" x14ac:dyDescent="0.25">
      <c r="A38" t="s">
        <v>158</v>
      </c>
      <c r="B38" s="1">
        <f>'Offensive Stats'!B22+'Offensive Stats'!B23+'Offensive Stats'!B26</f>
        <v>1</v>
      </c>
      <c r="C38" s="1">
        <v>1</v>
      </c>
      <c r="E38" s="26" t="s">
        <v>466</v>
      </c>
      <c r="F38" s="26"/>
      <c r="G38" s="26"/>
      <c r="I38" s="26" t="s">
        <v>340</v>
      </c>
      <c r="J38" s="26"/>
      <c r="K38" s="26"/>
      <c r="M38" s="26" t="s">
        <v>339</v>
      </c>
      <c r="N38" s="26"/>
      <c r="O38" s="26"/>
      <c r="Y38" s="36">
        <v>3500</v>
      </c>
      <c r="Z38">
        <f t="shared" si="1"/>
        <v>87.109462789156851</v>
      </c>
      <c r="AA38">
        <f t="shared" si="6"/>
        <v>0.77704972381340554</v>
      </c>
      <c r="AB38" s="95">
        <v>3500</v>
      </c>
      <c r="AC38">
        <f t="shared" si="0"/>
        <v>26.270103823873736</v>
      </c>
      <c r="AD38" s="96">
        <f t="shared" si="7"/>
        <v>0.64480488192964103</v>
      </c>
      <c r="AE38" s="95">
        <v>3500</v>
      </c>
      <c r="AF38">
        <f t="shared" si="2"/>
        <v>16.943200419754479</v>
      </c>
      <c r="AG38" s="96">
        <f t="shared" si="3"/>
        <v>0.44171670083511572</v>
      </c>
      <c r="AH38">
        <v>3500</v>
      </c>
      <c r="AI38">
        <f t="shared" si="4"/>
        <v>55.372534215299432</v>
      </c>
      <c r="AJ38" s="37">
        <f t="shared" si="5"/>
        <v>1.0407022831016164</v>
      </c>
      <c r="AO38" s="106"/>
    </row>
    <row r="39" spans="1:41" x14ac:dyDescent="0.25">
      <c r="A39" t="s">
        <v>186</v>
      </c>
      <c r="B39" s="1">
        <f>'Offensive Stats'!B22+'Offensive Stats'!B23+'Offensive Stats'!B29+'Offensive Stats'!B32</f>
        <v>1</v>
      </c>
      <c r="E39" s="26" t="s">
        <v>41</v>
      </c>
      <c r="F39" s="26" t="s">
        <v>1</v>
      </c>
      <c r="G39" s="26">
        <v>0</v>
      </c>
      <c r="I39" s="26" t="s">
        <v>42</v>
      </c>
      <c r="J39" s="26" t="s">
        <v>1</v>
      </c>
      <c r="K39" s="28">
        <v>0</v>
      </c>
      <c r="M39" s="26" t="s">
        <v>43</v>
      </c>
      <c r="N39" s="26" t="s">
        <v>1</v>
      </c>
      <c r="O39" s="28">
        <v>0</v>
      </c>
      <c r="Y39" s="36">
        <v>3600</v>
      </c>
      <c r="Z39">
        <f t="shared" si="1"/>
        <v>87.842334540943057</v>
      </c>
      <c r="AA39">
        <f t="shared" si="6"/>
        <v>0.732871751786206</v>
      </c>
      <c r="AB39" s="95">
        <v>3600</v>
      </c>
      <c r="AC39">
        <f t="shared" si="0"/>
        <v>26.909318453609476</v>
      </c>
      <c r="AD39" s="96">
        <f t="shared" si="7"/>
        <v>0.63921462973573995</v>
      </c>
      <c r="AE39" s="95">
        <v>3600</v>
      </c>
      <c r="AF39">
        <f t="shared" si="2"/>
        <v>17.382580388723124</v>
      </c>
      <c r="AG39" s="96">
        <f t="shared" si="3"/>
        <v>0.43937996896864462</v>
      </c>
      <c r="AH39">
        <v>3600</v>
      </c>
      <c r="AI39">
        <f t="shared" si="4"/>
        <v>56.389520608583751</v>
      </c>
      <c r="AJ39" s="37">
        <f t="shared" si="5"/>
        <v>1.0169863932843199</v>
      </c>
      <c r="AO39" s="106"/>
    </row>
    <row r="40" spans="1:41" x14ac:dyDescent="0.25">
      <c r="E40" s="26" t="s">
        <v>24</v>
      </c>
      <c r="F40" s="26" t="s">
        <v>2</v>
      </c>
      <c r="G40" s="26">
        <v>0</v>
      </c>
      <c r="I40" s="26" t="s">
        <v>24</v>
      </c>
      <c r="J40" s="26" t="s">
        <v>2</v>
      </c>
      <c r="K40" s="28">
        <v>0</v>
      </c>
      <c r="M40" s="26" t="s">
        <v>24</v>
      </c>
      <c r="N40" s="26" t="s">
        <v>2</v>
      </c>
      <c r="O40" s="28">
        <v>0</v>
      </c>
      <c r="Y40" s="36">
        <v>3700</v>
      </c>
      <c r="Z40">
        <f t="shared" si="1"/>
        <v>88.533539991644915</v>
      </c>
      <c r="AA40">
        <f t="shared" si="6"/>
        <v>0.69120545070185813</v>
      </c>
      <c r="AB40" s="95">
        <v>3700</v>
      </c>
      <c r="AC40">
        <f t="shared" si="0"/>
        <v>27.542991296850737</v>
      </c>
      <c r="AD40" s="96">
        <f t="shared" si="7"/>
        <v>0.63367284324126061</v>
      </c>
      <c r="AE40" s="95">
        <v>3700</v>
      </c>
      <c r="AF40">
        <f t="shared" si="2"/>
        <v>17.819635987404126</v>
      </c>
      <c r="AG40" s="96">
        <f t="shared" si="3"/>
        <v>0.43705559868100252</v>
      </c>
      <c r="AH40">
        <v>3700</v>
      </c>
      <c r="AI40">
        <f t="shared" si="4"/>
        <v>57.383331558092841</v>
      </c>
      <c r="AJ40" s="37">
        <f t="shared" si="5"/>
        <v>0.99381094950908988</v>
      </c>
      <c r="AO40" s="106"/>
    </row>
    <row r="41" spans="1:41" x14ac:dyDescent="0.25">
      <c r="A41" t="s">
        <v>141</v>
      </c>
      <c r="C41" s="1">
        <v>1.2</v>
      </c>
      <c r="E41" s="26"/>
      <c r="F41" s="26" t="s">
        <v>3</v>
      </c>
      <c r="G41" s="26">
        <v>0</v>
      </c>
      <c r="I41" s="26"/>
      <c r="J41" s="26" t="s">
        <v>3</v>
      </c>
      <c r="K41" s="28">
        <v>0</v>
      </c>
      <c r="M41" s="26"/>
      <c r="N41" s="26" t="s">
        <v>3</v>
      </c>
      <c r="O41" s="28">
        <v>0</v>
      </c>
      <c r="Y41" s="36">
        <v>3800</v>
      </c>
      <c r="Z41">
        <f t="shared" si="1"/>
        <v>89.185448015000304</v>
      </c>
      <c r="AA41">
        <f t="shared" si="6"/>
        <v>0.65190802335538933</v>
      </c>
      <c r="AB41" s="95">
        <v>3800</v>
      </c>
      <c r="AC41">
        <f t="shared" si="0"/>
        <v>28.171170399114821</v>
      </c>
      <c r="AD41" s="96">
        <f t="shared" si="7"/>
        <v>0.62817910226408458</v>
      </c>
      <c r="AE41" s="95">
        <v>3800</v>
      </c>
      <c r="AF41">
        <f t="shared" si="2"/>
        <v>18.254379511982144</v>
      </c>
      <c r="AG41" s="96">
        <f t="shared" si="3"/>
        <v>0.43474352457801757</v>
      </c>
      <c r="AH41">
        <v>3800</v>
      </c>
      <c r="AI41">
        <f t="shared" si="4"/>
        <v>58.354495193994119</v>
      </c>
      <c r="AJ41" s="37">
        <f t="shared" si="5"/>
        <v>0.97116363590127719</v>
      </c>
      <c r="AO41" s="106"/>
    </row>
    <row r="42" spans="1:41" x14ac:dyDescent="0.25">
      <c r="A42" t="s">
        <v>159</v>
      </c>
      <c r="B42" s="1">
        <f>'Offensive Stats'!B22+'Offensive Stats'!B23+'Offensive Stats'!B27+'Offensive Stats'!B26</f>
        <v>1</v>
      </c>
      <c r="C42" s="1">
        <v>1.2</v>
      </c>
      <c r="E42" s="26"/>
      <c r="F42" s="26" t="s">
        <v>4</v>
      </c>
      <c r="G42" s="28" t="s">
        <v>32</v>
      </c>
      <c r="I42" s="26"/>
      <c r="J42" s="26" t="s">
        <v>4</v>
      </c>
      <c r="K42" s="28" t="s">
        <v>335</v>
      </c>
      <c r="M42" s="26"/>
      <c r="N42" s="26" t="s">
        <v>4</v>
      </c>
      <c r="O42" s="28" t="s">
        <v>337</v>
      </c>
      <c r="Y42" s="36">
        <v>3900</v>
      </c>
      <c r="Z42">
        <f t="shared" si="1"/>
        <v>89.800292806058579</v>
      </c>
      <c r="AA42">
        <f t="shared" si="6"/>
        <v>0.61484479105827461</v>
      </c>
      <c r="AB42" s="95">
        <v>3900</v>
      </c>
      <c r="AC42">
        <f t="shared" si="0"/>
        <v>28.793903389379739</v>
      </c>
      <c r="AD42" s="96">
        <f t="shared" si="7"/>
        <v>0.62273299026491813</v>
      </c>
      <c r="AE42" s="95">
        <v>3900</v>
      </c>
      <c r="AF42">
        <f t="shared" si="2"/>
        <v>18.686823193593625</v>
      </c>
      <c r="AG42" s="96">
        <f t="shared" si="3"/>
        <v>0.43244368161148117</v>
      </c>
      <c r="AH42">
        <v>3900</v>
      </c>
      <c r="AI42">
        <f t="shared" si="4"/>
        <v>59.303527611238948</v>
      </c>
      <c r="AJ42" s="37">
        <f t="shared" si="5"/>
        <v>0.94903241724482967</v>
      </c>
      <c r="AO42" s="106"/>
    </row>
    <row r="43" spans="1:41" x14ac:dyDescent="0.25">
      <c r="A43" t="s">
        <v>160</v>
      </c>
      <c r="B43" s="1">
        <f>'Offensive Stats'!B22+'Offensive Stats'!B24+'Offensive Stats'!B27+'Offensive Stats'!B26</f>
        <v>1</v>
      </c>
      <c r="E43" s="26"/>
      <c r="F43" s="26" t="s">
        <v>5</v>
      </c>
      <c r="G43" s="29">
        <v>0.05</v>
      </c>
      <c r="I43" s="26"/>
      <c r="J43" s="26" t="s">
        <v>5</v>
      </c>
      <c r="K43" s="29">
        <v>0.05</v>
      </c>
      <c r="M43" s="26"/>
      <c r="N43" s="26" t="s">
        <v>5</v>
      </c>
      <c r="O43" s="29">
        <v>0.05</v>
      </c>
      <c r="Y43" s="36">
        <v>4000</v>
      </c>
      <c r="Z43">
        <f t="shared" si="1"/>
        <v>90.380181538131168</v>
      </c>
      <c r="AA43">
        <f t="shared" si="6"/>
        <v>0.57988873207258962</v>
      </c>
      <c r="AB43" s="95">
        <v>4000</v>
      </c>
      <c r="AC43">
        <f t="shared" si="0"/>
        <v>29.411237483695508</v>
      </c>
      <c r="AD43" s="96">
        <f t="shared" si="7"/>
        <v>0.61733409431576902</v>
      </c>
      <c r="AE43" s="95">
        <v>4000</v>
      </c>
      <c r="AF43">
        <f t="shared" si="2"/>
        <v>19.116979198670879</v>
      </c>
      <c r="AG43" s="96">
        <f t="shared" si="3"/>
        <v>0.43015600507725438</v>
      </c>
      <c r="AH43">
        <v>4000</v>
      </c>
      <c r="AI43">
        <f t="shared" si="4"/>
        <v>60.230933143825347</v>
      </c>
      <c r="AJ43" s="37">
        <f t="shared" si="5"/>
        <v>0.92740553258639835</v>
      </c>
      <c r="AO43" s="106"/>
    </row>
    <row r="44" spans="1:41" x14ac:dyDescent="0.25">
      <c r="E44" s="26"/>
      <c r="F44" s="26" t="s">
        <v>6</v>
      </c>
      <c r="G44" s="29">
        <v>1.5</v>
      </c>
      <c r="I44" s="26"/>
      <c r="J44" s="26" t="s">
        <v>6</v>
      </c>
      <c r="K44" s="29">
        <v>1.5</v>
      </c>
      <c r="M44" s="26"/>
      <c r="N44" s="26" t="s">
        <v>6</v>
      </c>
      <c r="O44" s="29">
        <v>1.5</v>
      </c>
      <c r="X44" s="3"/>
      <c r="Y44" s="36">
        <v>4100</v>
      </c>
      <c r="Z44">
        <f t="shared" si="1"/>
        <v>90.927101584417898</v>
      </c>
      <c r="AA44">
        <f t="shared" si="6"/>
        <v>0.54692004628672919</v>
      </c>
      <c r="AB44" s="95">
        <v>4100</v>
      </c>
      <c r="AC44">
        <f t="shared" si="0"/>
        <v>30.023219488764084</v>
      </c>
      <c r="AD44" s="96">
        <f t="shared" si="7"/>
        <v>0.61198200506857603</v>
      </c>
      <c r="AE44" s="95">
        <v>4100</v>
      </c>
      <c r="AF44">
        <f t="shared" si="2"/>
        <v>19.544859629284417</v>
      </c>
      <c r="AG44" s="96">
        <f t="shared" si="3"/>
        <v>0.42788043061353775</v>
      </c>
      <c r="AH44">
        <v>4100</v>
      </c>
      <c r="AI44">
        <f t="shared" si="4"/>
        <v>61.137204632810736</v>
      </c>
      <c r="AJ44" s="37">
        <f t="shared" si="5"/>
        <v>0.90627148898538934</v>
      </c>
      <c r="AO44" s="106"/>
    </row>
    <row r="45" spans="1:41" x14ac:dyDescent="0.25">
      <c r="A45" t="s">
        <v>142</v>
      </c>
      <c r="C45" s="1">
        <v>0.8</v>
      </c>
      <c r="E45" s="26"/>
      <c r="F45" s="26" t="s">
        <v>7</v>
      </c>
      <c r="G45" s="28" t="s">
        <v>31</v>
      </c>
      <c r="I45" s="26"/>
      <c r="J45" s="26" t="s">
        <v>7</v>
      </c>
      <c r="K45" s="28" t="s">
        <v>336</v>
      </c>
      <c r="M45" s="26"/>
      <c r="N45" s="26" t="s">
        <v>7</v>
      </c>
      <c r="O45" s="28" t="s">
        <v>338</v>
      </c>
      <c r="X45" s="3"/>
      <c r="Y45" s="36">
        <v>4200</v>
      </c>
      <c r="Z45">
        <f t="shared" si="1"/>
        <v>91.442927329058918</v>
      </c>
      <c r="AA45">
        <f t="shared" si="6"/>
        <v>0.51582574464102038</v>
      </c>
      <c r="AB45" s="95">
        <v>4200</v>
      </c>
      <c r="AC45">
        <f t="shared" si="0"/>
        <v>30.629895805488271</v>
      </c>
      <c r="AD45" s="96">
        <f t="shared" si="7"/>
        <v>0.60667631672418665</v>
      </c>
      <c r="AE45" s="95">
        <v>4200</v>
      </c>
      <c r="AF45">
        <f t="shared" si="2"/>
        <v>19.970476523483416</v>
      </c>
      <c r="AG45" s="96">
        <f t="shared" si="3"/>
        <v>0.42561689419899906</v>
      </c>
      <c r="AH45">
        <v>4200</v>
      </c>
      <c r="AI45">
        <f t="shared" si="4"/>
        <v>62.022823688217066</v>
      </c>
      <c r="AJ45" s="37">
        <f t="shared" si="5"/>
        <v>0.88561905540633035</v>
      </c>
      <c r="AO45" s="106"/>
    </row>
    <row r="46" spans="1:41" x14ac:dyDescent="0.25">
      <c r="A46" t="s">
        <v>162</v>
      </c>
      <c r="B46" s="1">
        <f>'Offensive Stats'!B22+'Offensive Stats'!B23+'Offensive Stats'!B26</f>
        <v>1</v>
      </c>
      <c r="C46" s="1">
        <v>0.8</v>
      </c>
      <c r="E46" s="26"/>
      <c r="F46" s="26" t="s">
        <v>8</v>
      </c>
      <c r="G46" s="28">
        <v>83.65</v>
      </c>
      <c r="I46" s="26"/>
      <c r="J46" s="26" t="s">
        <v>8</v>
      </c>
      <c r="K46" s="28">
        <v>71.7</v>
      </c>
      <c r="M46" s="26"/>
      <c r="N46" s="26" t="s">
        <v>8</v>
      </c>
      <c r="O46" s="28">
        <v>59.75</v>
      </c>
      <c r="Y46" s="36">
        <v>4300</v>
      </c>
      <c r="Z46">
        <f t="shared" si="1"/>
        <v>91.929426590954648</v>
      </c>
      <c r="AA46">
        <f t="shared" si="6"/>
        <v>0.48649926189573023</v>
      </c>
      <c r="AB46" s="95">
        <v>4300</v>
      </c>
      <c r="AC46">
        <f t="shared" si="0"/>
        <v>31.231312432489876</v>
      </c>
      <c r="AD46" s="96">
        <f t="shared" si="7"/>
        <v>0.60141662700160481</v>
      </c>
      <c r="AE46" s="95">
        <v>4300</v>
      </c>
      <c r="AF46">
        <f t="shared" si="2"/>
        <v>20.393841855634388</v>
      </c>
      <c r="AG46" s="96">
        <f t="shared" si="3"/>
        <v>0.42336533215097205</v>
      </c>
      <c r="AH46">
        <v>4300</v>
      </c>
      <c r="AI46">
        <f t="shared" si="4"/>
        <v>62.888260944967691</v>
      </c>
      <c r="AJ46" s="37">
        <f t="shared" si="5"/>
        <v>0.86543725675062433</v>
      </c>
      <c r="AO46" s="106"/>
    </row>
    <row r="47" spans="1:41" x14ac:dyDescent="0.25">
      <c r="Y47" s="36">
        <v>4400</v>
      </c>
      <c r="Z47">
        <f t="shared" si="1"/>
        <v>92.38826668236922</v>
      </c>
      <c r="AA47">
        <f t="shared" si="6"/>
        <v>0.45884009141457227</v>
      </c>
      <c r="AB47" s="95">
        <v>4400</v>
      </c>
      <c r="AC47">
        <f t="shared" si="0"/>
        <v>31.82751496959737</v>
      </c>
      <c r="AD47" s="96">
        <f t="shared" si="7"/>
        <v>0.59620253710749438</v>
      </c>
      <c r="AE47" s="95">
        <v>4400</v>
      </c>
      <c r="AF47">
        <f t="shared" si="2"/>
        <v>20.814967536758079</v>
      </c>
      <c r="AG47" s="96">
        <f t="shared" si="3"/>
        <v>0.42112568112369075</v>
      </c>
      <c r="AH47">
        <v>4400</v>
      </c>
      <c r="AI47">
        <f t="shared" si="4"/>
        <v>63.733976312991693</v>
      </c>
      <c r="AJ47" s="37">
        <f t="shared" si="5"/>
        <v>0.8457153680240026</v>
      </c>
      <c r="AO47" s="106"/>
    </row>
    <row r="48" spans="1:41" x14ac:dyDescent="0.25">
      <c r="A48" t="s">
        <v>143</v>
      </c>
      <c r="C48" s="1">
        <v>0.9</v>
      </c>
      <c r="Y48" s="36">
        <v>4500</v>
      </c>
      <c r="Z48">
        <f t="shared" si="1"/>
        <v>92.821020123081468</v>
      </c>
      <c r="AA48">
        <f t="shared" si="6"/>
        <v>0.43275344071224708</v>
      </c>
      <c r="AB48" s="95">
        <v>4500</v>
      </c>
      <c r="AC48">
        <f t="shared" si="0"/>
        <v>32.418548621303287</v>
      </c>
      <c r="AD48" s="96">
        <f t="shared" si="7"/>
        <v>0.59103365170591715</v>
      </c>
      <c r="AE48" s="95">
        <v>4500</v>
      </c>
      <c r="AF48">
        <f t="shared" si="2"/>
        <v>21.23386541486456</v>
      </c>
      <c r="AG48" s="96">
        <f t="shared" si="3"/>
        <v>0.41889787810648116</v>
      </c>
      <c r="AH48">
        <v>4500</v>
      </c>
      <c r="AI48">
        <f t="shared" si="4"/>
        <v>64.560419221628891</v>
      </c>
      <c r="AJ48" s="37">
        <f t="shared" si="5"/>
        <v>0.8264429086371976</v>
      </c>
      <c r="AO48" s="106"/>
    </row>
    <row r="49" spans="1:41" x14ac:dyDescent="0.25">
      <c r="A49" t="s">
        <v>162</v>
      </c>
      <c r="B49" s="1">
        <f>'Offensive Stats'!B22+'Offensive Stats'!B23+'Offensive Stats'!B26</f>
        <v>1</v>
      </c>
      <c r="C49" s="1">
        <v>0.9</v>
      </c>
      <c r="Y49" s="36">
        <v>4600</v>
      </c>
      <c r="Z49">
        <f t="shared" si="1"/>
        <v>93.229170029666406</v>
      </c>
      <c r="AA49">
        <f t="shared" si="6"/>
        <v>0.40814990658493855</v>
      </c>
      <c r="AB49" s="95">
        <v>4600</v>
      </c>
      <c r="AC49">
        <f t="shared" si="0"/>
        <v>33.004458200191664</v>
      </c>
      <c r="AD49" s="96">
        <f t="shared" si="7"/>
        <v>0.58590957888837636</v>
      </c>
      <c r="AE49" s="95">
        <v>4600</v>
      </c>
      <c r="AF49">
        <f t="shared" si="2"/>
        <v>21.650547275286591</v>
      </c>
      <c r="AG49" s="96">
        <f t="shared" si="3"/>
        <v>0.41668186042203104</v>
      </c>
      <c r="AH49">
        <v>4600</v>
      </c>
      <c r="AI49">
        <f t="shared" si="4"/>
        <v>65.368028858465152</v>
      </c>
      <c r="AJ49" s="37">
        <f t="shared" si="5"/>
        <v>0.8076096368362613</v>
      </c>
      <c r="AO49" s="106"/>
    </row>
    <row r="50" spans="1:41" x14ac:dyDescent="0.25">
      <c r="E50" s="26" t="s">
        <v>236</v>
      </c>
      <c r="F50" s="26"/>
      <c r="G50" s="26"/>
      <c r="H50" s="26"/>
      <c r="I50" s="26"/>
      <c r="J50" s="26"/>
      <c r="K50" s="26"/>
      <c r="L50" s="26"/>
      <c r="Y50" s="36">
        <v>4700</v>
      </c>
      <c r="Z50">
        <f t="shared" si="1"/>
        <v>93.614115198377519</v>
      </c>
      <c r="AA50">
        <f t="shared" si="6"/>
        <v>0.38494516871111273</v>
      </c>
      <c r="AB50" s="95">
        <v>4700</v>
      </c>
      <c r="AC50">
        <f t="shared" si="0"/>
        <v>33.585288130335741</v>
      </c>
      <c r="AD50" s="96">
        <f t="shared" si="7"/>
        <v>0.58082993014407691</v>
      </c>
      <c r="AE50" s="95">
        <v>4700</v>
      </c>
      <c r="AF50">
        <f t="shared" si="2"/>
        <v>22.065024841011184</v>
      </c>
      <c r="AG50" s="96">
        <f t="shared" si="3"/>
        <v>0.41447756572459227</v>
      </c>
      <c r="AH50">
        <v>4700</v>
      </c>
      <c r="AI50">
        <f t="shared" si="4"/>
        <v>66.157234402725095</v>
      </c>
      <c r="AJ50" s="37">
        <f t="shared" si="5"/>
        <v>0.78920554425994283</v>
      </c>
      <c r="AO50" s="106"/>
    </row>
    <row r="51" spans="1:41" x14ac:dyDescent="0.25">
      <c r="A51" t="s">
        <v>144</v>
      </c>
      <c r="E51" s="26" t="s">
        <v>237</v>
      </c>
      <c r="F51" s="26"/>
      <c r="G51" s="26"/>
      <c r="H51" s="26"/>
      <c r="I51" s="26"/>
      <c r="J51" s="26"/>
      <c r="K51" s="26"/>
      <c r="L51" s="26"/>
      <c r="Y51" s="36">
        <v>4800</v>
      </c>
      <c r="Z51">
        <f t="shared" si="1"/>
        <v>93.97717489904953</v>
      </c>
      <c r="AA51">
        <f t="shared" si="6"/>
        <v>0.36305970067201088</v>
      </c>
      <c r="AB51" s="95">
        <v>4800</v>
      </c>
      <c r="AC51">
        <f t="shared" si="0"/>
        <v>34.161082450666271</v>
      </c>
      <c r="AD51" s="96">
        <f t="shared" si="7"/>
        <v>0.57579432033053024</v>
      </c>
      <c r="AE51" s="95">
        <v>4800</v>
      </c>
      <c r="AF51">
        <f t="shared" si="2"/>
        <v>22.477309773009367</v>
      </c>
      <c r="AG51" s="96">
        <f t="shared" si="3"/>
        <v>0.41228493199818317</v>
      </c>
      <c r="AH51">
        <v>4800</v>
      </c>
      <c r="AI51">
        <f t="shared" si="4"/>
        <v>66.928455253346158</v>
      </c>
      <c r="AJ51" s="37">
        <f t="shared" si="5"/>
        <v>0.77122085062106294</v>
      </c>
      <c r="AO51" s="106"/>
    </row>
    <row r="52" spans="1:41" x14ac:dyDescent="0.25">
      <c r="A52" t="s">
        <v>162</v>
      </c>
      <c r="B52" s="1">
        <f>'Offensive Stats'!B22+'Offensive Stats'!B23+'Offensive Stats'!B26</f>
        <v>1</v>
      </c>
      <c r="C52" s="1">
        <v>1.4</v>
      </c>
      <c r="Y52" s="36">
        <v>4900</v>
      </c>
      <c r="Z52">
        <f t="shared" si="1"/>
        <v>94.319593396451069</v>
      </c>
      <c r="AA52">
        <f t="shared" si="6"/>
        <v>0.34241849740153896</v>
      </c>
      <c r="AB52" s="95">
        <v>4900</v>
      </c>
      <c r="AC52">
        <f t="shared" si="0"/>
        <v>34.73188481831054</v>
      </c>
      <c r="AD52" s="96">
        <f t="shared" si="7"/>
        <v>0.57080236764426928</v>
      </c>
      <c r="AE52" s="95">
        <v>4900</v>
      </c>
      <c r="AF52">
        <f t="shared" si="2"/>
        <v>22.887413670564339</v>
      </c>
      <c r="AG52" s="96">
        <f t="shared" si="3"/>
        <v>0.41010389755497201</v>
      </c>
      <c r="AH52">
        <v>4900</v>
      </c>
      <c r="AI52">
        <f t="shared" si="4"/>
        <v>67.682101251855258</v>
      </c>
      <c r="AJ52" s="37">
        <f t="shared" si="5"/>
        <v>0.75364599850909997</v>
      </c>
      <c r="AO52" s="106"/>
    </row>
    <row r="53" spans="1:41" x14ac:dyDescent="0.25">
      <c r="A53" t="s">
        <v>163</v>
      </c>
      <c r="B53" s="1">
        <f>'Offensive Stats'!B22+'Offensive Stats'!B23+'Offensive Stats'!B29+'Offensive Stats'!B32</f>
        <v>1</v>
      </c>
      <c r="C53" s="1">
        <v>1.4</v>
      </c>
      <c r="Y53" s="36">
        <v>5000</v>
      </c>
      <c r="Z53">
        <f t="shared" si="1"/>
        <v>94.642544214582927</v>
      </c>
      <c r="AA53">
        <f t="shared" si="6"/>
        <v>0.32295081813185789</v>
      </c>
      <c r="AB53" s="95">
        <v>5000</v>
      </c>
      <c r="AC53">
        <f t="shared" si="0"/>
        <v>35.297738511902509</v>
      </c>
      <c r="AD53" s="96">
        <f t="shared" si="7"/>
        <v>0.56585369359196847</v>
      </c>
      <c r="AE53" s="95">
        <v>5000</v>
      </c>
      <c r="AF53">
        <f t="shared" si="2"/>
        <v>23.295348071597743</v>
      </c>
      <c r="AG53" s="96">
        <f t="shared" si="3"/>
        <v>0.40793440103340473</v>
      </c>
      <c r="AH53">
        <v>5000</v>
      </c>
      <c r="AI53">
        <f t="shared" si="4"/>
        <v>68.418572900166325</v>
      </c>
      <c r="AJ53" s="37">
        <f t="shared" si="5"/>
        <v>0.73647164831106693</v>
      </c>
      <c r="AO53" s="106"/>
    </row>
    <row r="54" spans="1:41" x14ac:dyDescent="0.25">
      <c r="L54" s="106"/>
      <c r="Y54" s="36">
        <v>5100</v>
      </c>
      <c r="Z54">
        <f t="shared" si="1"/>
        <v>94.947134158536002</v>
      </c>
      <c r="AA54">
        <f t="shared" si="6"/>
        <v>0.3045899439530757</v>
      </c>
      <c r="AB54" s="95">
        <v>5100</v>
      </c>
      <c r="AC54">
        <f t="shared" si="0"/>
        <v>35.858686434864197</v>
      </c>
      <c r="AD54" s="96">
        <f t="shared" si="7"/>
        <v>0.56094792296168805</v>
      </c>
      <c r="AE54" s="95">
        <v>5100</v>
      </c>
      <c r="AF54">
        <f t="shared" si="2"/>
        <v>23.701124452994314</v>
      </c>
      <c r="AG54" s="96">
        <f t="shared" si="3"/>
        <v>0.40577638139657068</v>
      </c>
      <c r="AH54">
        <v>5100</v>
      </c>
      <c r="AI54">
        <f t="shared" si="4"/>
        <v>69.138261573414781</v>
      </c>
      <c r="AJ54" s="37">
        <f t="shared" si="5"/>
        <v>0.71968867324845576</v>
      </c>
      <c r="AO54" s="106"/>
    </row>
    <row r="55" spans="1:41" x14ac:dyDescent="0.25">
      <c r="A55" t="s">
        <v>145</v>
      </c>
      <c r="C55" s="1">
        <v>1.2</v>
      </c>
      <c r="E55" t="s">
        <v>270</v>
      </c>
      <c r="U55" s="1"/>
      <c r="Y55" s="36">
        <v>5200</v>
      </c>
      <c r="Z55">
        <f t="shared" si="1"/>
        <v>95.234407107692803</v>
      </c>
      <c r="AA55">
        <f t="shared" si="6"/>
        <v>0.28727294915680091</v>
      </c>
      <c r="AB55" s="95">
        <v>5200</v>
      </c>
      <c r="AC55">
        <f t="shared" si="0"/>
        <v>36.414771118658692</v>
      </c>
      <c r="AD55" s="96">
        <f t="shared" si="7"/>
        <v>0.55608468379449505</v>
      </c>
      <c r="AE55" s="95">
        <v>5200</v>
      </c>
      <c r="AF55">
        <f t="shared" si="2"/>
        <v>24.10475423092473</v>
      </c>
      <c r="AG55" s="96">
        <f t="shared" si="3"/>
        <v>0.40362977793041566</v>
      </c>
      <c r="AH55">
        <v>5200</v>
      </c>
      <c r="AI55">
        <f t="shared" si="4"/>
        <v>69.841549727941739</v>
      </c>
      <c r="AJ55" s="37">
        <f t="shared" si="5"/>
        <v>0.70328815452695892</v>
      </c>
      <c r="AO55" s="106"/>
    </row>
    <row r="56" spans="1:41" x14ac:dyDescent="0.25">
      <c r="A56" t="s">
        <v>164</v>
      </c>
      <c r="B56" s="1">
        <f>'Offensive Stats'!B22+'Offensive Stats'!B24+'Offensive Stats'!B28+'Offensive Stats'!B32</f>
        <v>1</v>
      </c>
      <c r="C56" s="1">
        <v>1.2</v>
      </c>
      <c r="F56" t="s">
        <v>271</v>
      </c>
      <c r="U56" s="1"/>
      <c r="Y56" s="36">
        <v>5300</v>
      </c>
      <c r="Z56">
        <f t="shared" si="1"/>
        <v>95.505347593272205</v>
      </c>
      <c r="AA56">
        <f t="shared" si="6"/>
        <v>0.27094048557940198</v>
      </c>
      <c r="AB56" s="95">
        <v>5300</v>
      </c>
      <c r="AC56">
        <f t="shared" si="0"/>
        <v>36.966034726014882</v>
      </c>
      <c r="AD56" s="96">
        <f t="shared" si="7"/>
        <v>0.55126360735619073</v>
      </c>
      <c r="AE56" s="95">
        <v>5300</v>
      </c>
      <c r="AF56">
        <f t="shared" si="2"/>
        <v>24.506248761166848</v>
      </c>
      <c r="AG56" s="96">
        <f t="shared" si="3"/>
        <v>0.40149453024211823</v>
      </c>
      <c r="AH56">
        <v>5300</v>
      </c>
      <c r="AI56">
        <f t="shared" si="4"/>
        <v>70.528811104538676</v>
      </c>
      <c r="AJ56" s="37">
        <f t="shared" si="5"/>
        <v>0.6872613765969362</v>
      </c>
      <c r="AO56" s="106"/>
    </row>
    <row r="57" spans="1:41" x14ac:dyDescent="0.25">
      <c r="A57" t="s">
        <v>165</v>
      </c>
      <c r="B57" s="1">
        <f>'Offensive Stats'!B22+'Offensive Stats'!B24+'Offensive Stats'!B30+'Offensive Stats'!B32</f>
        <v>1</v>
      </c>
      <c r="U57" s="1"/>
      <c r="Y57" s="36">
        <v>5400</v>
      </c>
      <c r="Z57">
        <f t="shared" si="1"/>
        <v>95.760884172478384</v>
      </c>
      <c r="AA57">
        <f t="shared" si="6"/>
        <v>0.25553657920617923</v>
      </c>
      <c r="AB57" s="95">
        <v>5400</v>
      </c>
      <c r="AC57">
        <f t="shared" si="0"/>
        <v>37.512519054124283</v>
      </c>
      <c r="AD57" s="96">
        <f t="shared" si="7"/>
        <v>0.54648432810940051</v>
      </c>
      <c r="AE57" s="95">
        <v>5400</v>
      </c>
      <c r="AF57">
        <f t="shared" si="2"/>
        <v>24.905619339425133</v>
      </c>
      <c r="AG57" s="96">
        <f t="shared" si="3"/>
        <v>0.39937057825828504</v>
      </c>
      <c r="AH57">
        <v>5400</v>
      </c>
      <c r="AI57">
        <f t="shared" si="4"/>
        <v>71.200410927060346</v>
      </c>
      <c r="AJ57" s="37">
        <f t="shared" si="5"/>
        <v>0.67159982252167083</v>
      </c>
      <c r="AO57" s="106"/>
    </row>
    <row r="58" spans="1:41" x14ac:dyDescent="0.25">
      <c r="A58" s="25"/>
      <c r="U58" s="1"/>
      <c r="Y58" s="36">
        <v>5500</v>
      </c>
      <c r="Z58">
        <f t="shared" si="1"/>
        <v>96.00189261081772</v>
      </c>
      <c r="AA58">
        <f t="shared" si="6"/>
        <v>0.24100843833933538</v>
      </c>
      <c r="AB58" s="95">
        <v>5500</v>
      </c>
      <c r="AC58">
        <f t="shared" si="0"/>
        <v>38.054265537810103</v>
      </c>
      <c r="AD58" s="96">
        <f t="shared" si="7"/>
        <v>0.54174648368582012</v>
      </c>
      <c r="AE58" s="95">
        <v>5500</v>
      </c>
      <c r="AF58">
        <f t="shared" si="2"/>
        <v>25.302877201648499</v>
      </c>
      <c r="AG58" s="96">
        <f t="shared" si="3"/>
        <v>0.39725786222336623</v>
      </c>
      <c r="AH58">
        <v>5500</v>
      </c>
      <c r="AI58">
        <f t="shared" si="4"/>
        <v>71.8567060965118</v>
      </c>
      <c r="AJ58" s="37">
        <f t="shared" si="5"/>
        <v>0.65629516945145383</v>
      </c>
      <c r="AO58" s="106"/>
    </row>
    <row r="59" spans="1:41" x14ac:dyDescent="0.25">
      <c r="A59" t="s">
        <v>146</v>
      </c>
      <c r="C59" s="1">
        <v>4</v>
      </c>
      <c r="U59" s="1"/>
      <c r="Y59" s="36">
        <v>5600</v>
      </c>
      <c r="Z59">
        <f t="shared" si="1"/>
        <v>96.229198883489943</v>
      </c>
      <c r="AA59">
        <f t="shared" si="6"/>
        <v>0.22730627267222303</v>
      </c>
      <c r="AB59" s="95">
        <v>5600</v>
      </c>
      <c r="AC59">
        <f t="shared" si="0"/>
        <v>38.591315252668899</v>
      </c>
      <c r="AD59" s="96">
        <f t="shared" si="7"/>
        <v>0.53704971485879582</v>
      </c>
      <c r="AE59" s="95">
        <v>5600</v>
      </c>
      <c r="AF59">
        <f t="shared" si="2"/>
        <v>25.698033524346396</v>
      </c>
      <c r="AG59" s="96">
        <f t="shared" si="3"/>
        <v>0.39515632269789691</v>
      </c>
      <c r="AH59">
        <v>5600</v>
      </c>
      <c r="AI59">
        <f t="shared" si="4"/>
        <v>72.498045380712469</v>
      </c>
      <c r="AJ59" s="37">
        <f t="shared" si="5"/>
        <v>0.64133928420066866</v>
      </c>
      <c r="AO59" s="106"/>
    </row>
    <row r="60" spans="1:41" x14ac:dyDescent="0.25">
      <c r="A60" t="s">
        <v>166</v>
      </c>
      <c r="B60" s="1">
        <f>'Offensive Stats'!B22+'Offensive Stats'!B26</f>
        <v>1</v>
      </c>
      <c r="E60" s="35" t="s">
        <v>321</v>
      </c>
      <c r="H60" s="35" t="s">
        <v>302</v>
      </c>
      <c r="K60" s="35" t="s">
        <v>297</v>
      </c>
      <c r="U60" s="1"/>
      <c r="Y60" s="36">
        <v>5700</v>
      </c>
      <c r="Z60">
        <f t="shared" si="1"/>
        <v>96.443582006139764</v>
      </c>
      <c r="AA60">
        <f t="shared" si="6"/>
        <v>0.21438312264982073</v>
      </c>
      <c r="AB60" s="95">
        <v>5700</v>
      </c>
      <c r="AC60">
        <f t="shared" si="0"/>
        <v>39.123708918184931</v>
      </c>
      <c r="AD60" s="96">
        <f t="shared" si="7"/>
        <v>0.5323936655160324</v>
      </c>
      <c r="AE60" s="95">
        <v>5700</v>
      </c>
      <c r="AF60">
        <f t="shared" si="2"/>
        <v>26.091099424903284</v>
      </c>
      <c r="AG60" s="96">
        <f t="shared" si="3"/>
        <v>0.39306590055688773</v>
      </c>
      <c r="AH60">
        <v>5700</v>
      </c>
      <c r="AI60">
        <f t="shared" si="4"/>
        <v>73.124769599637915</v>
      </c>
      <c r="AJ60" s="37">
        <f t="shared" si="5"/>
        <v>0.62672421892544605</v>
      </c>
      <c r="AO60" s="106"/>
    </row>
    <row r="61" spans="1:41" x14ac:dyDescent="0.25">
      <c r="A61" t="s">
        <v>167</v>
      </c>
      <c r="B61" s="1">
        <f>'Offensive Stats'!B22+'Offensive Stats'!B30+'Offensive Stats'!B32</f>
        <v>1</v>
      </c>
      <c r="E61" t="s">
        <v>272</v>
      </c>
      <c r="H61" t="s">
        <v>303</v>
      </c>
      <c r="K61" s="2" t="s">
        <v>284</v>
      </c>
      <c r="U61" s="1"/>
      <c r="Y61" s="36">
        <v>5800</v>
      </c>
      <c r="Z61">
        <f t="shared" si="1"/>
        <v>96.645776704670396</v>
      </c>
      <c r="AA61">
        <f t="shared" si="6"/>
        <v>0.20219469853063288</v>
      </c>
      <c r="AB61" s="95">
        <v>5800</v>
      </c>
      <c r="AC61">
        <f t="shared" si="0"/>
        <v>39.651486900817531</v>
      </c>
      <c r="AD61" s="96">
        <f t="shared" si="7"/>
        <v>0.52777798263259967</v>
      </c>
      <c r="AE61" s="95">
        <v>5800</v>
      </c>
      <c r="AF61">
        <f t="shared" si="2"/>
        <v>26.482085961891354</v>
      </c>
      <c r="AG61" s="96">
        <f t="shared" si="3"/>
        <v>0.39098653698806984</v>
      </c>
      <c r="AH61">
        <v>5800</v>
      </c>
      <c r="AI61">
        <f t="shared" si="4"/>
        <v>73.737211806538227</v>
      </c>
      <c r="AJ61" s="37">
        <f t="shared" si="5"/>
        <v>0.6124422069003117</v>
      </c>
      <c r="AO61" s="106"/>
    </row>
    <row r="62" spans="1:41" x14ac:dyDescent="0.25">
      <c r="E62" t="s">
        <v>273</v>
      </c>
      <c r="H62" t="s">
        <v>273</v>
      </c>
      <c r="K62" t="s">
        <v>273</v>
      </c>
      <c r="U62" s="1"/>
      <c r="Y62" s="36">
        <v>5900</v>
      </c>
      <c r="Z62">
        <f t="shared" si="1"/>
        <v>96.836475933269071</v>
      </c>
      <c r="AA62">
        <f t="shared" si="6"/>
        <v>0.19069922859867461</v>
      </c>
      <c r="AB62" s="95">
        <v>5900</v>
      </c>
      <c r="AC62">
        <f t="shared" si="0"/>
        <v>40.174689217061768</v>
      </c>
      <c r="AD62" s="96">
        <f t="shared" si="7"/>
        <v>0.52320231624423741</v>
      </c>
      <c r="AE62" s="95">
        <v>5900</v>
      </c>
      <c r="AF62">
        <f t="shared" si="2"/>
        <v>26.871004135381714</v>
      </c>
      <c r="AG62" s="96">
        <f t="shared" si="3"/>
        <v>0.38891817349036018</v>
      </c>
      <c r="AH62">
        <v>5900</v>
      </c>
      <c r="AI62">
        <f t="shared" si="4"/>
        <v>74.335697464928813</v>
      </c>
      <c r="AJ62" s="37">
        <f t="shared" si="5"/>
        <v>0.59848565839058665</v>
      </c>
      <c r="AO62" s="106"/>
    </row>
    <row r="63" spans="1:41" x14ac:dyDescent="0.25">
      <c r="A63" t="s">
        <v>188</v>
      </c>
      <c r="C63" s="1">
        <v>2</v>
      </c>
      <c r="E63" t="s">
        <v>274</v>
      </c>
      <c r="H63" t="s">
        <v>274</v>
      </c>
      <c r="K63" t="s">
        <v>274</v>
      </c>
      <c r="U63" s="110"/>
      <c r="Y63" s="36">
        <v>6000</v>
      </c>
      <c r="Z63">
        <f t="shared" si="1"/>
        <v>97.016333249273927</v>
      </c>
      <c r="AA63">
        <f t="shared" si="6"/>
        <v>0.17985731600485622</v>
      </c>
      <c r="AB63" s="95">
        <v>6000</v>
      </c>
      <c r="AC63">
        <f t="shared" si="0"/>
        <v>40.693355536482464</v>
      </c>
      <c r="AD63" s="96">
        <f t="shared" si="7"/>
        <v>0.51866631942069574</v>
      </c>
      <c r="AE63" s="95">
        <v>6000</v>
      </c>
      <c r="AF63">
        <f t="shared" si="2"/>
        <v>27.257864887253813</v>
      </c>
      <c r="AG63" s="96">
        <f t="shared" si="3"/>
        <v>0.38686075187209923</v>
      </c>
      <c r="AH63">
        <v>6000</v>
      </c>
      <c r="AI63">
        <f t="shared" si="4"/>
        <v>74.920544621547933</v>
      </c>
      <c r="AJ63" s="37">
        <f t="shared" si="5"/>
        <v>0.58484715661911935</v>
      </c>
      <c r="AO63" s="106"/>
    </row>
    <row r="64" spans="1:41" x14ac:dyDescent="0.25">
      <c r="A64" t="s">
        <v>168</v>
      </c>
      <c r="B64" s="1">
        <f>'Offensive Stats'!B22+'Offensive Stats'!B26</f>
        <v>1</v>
      </c>
      <c r="E64" t="s">
        <v>275</v>
      </c>
      <c r="H64" t="s">
        <v>275</v>
      </c>
      <c r="K64" t="s">
        <v>275</v>
      </c>
      <c r="U64" s="110"/>
      <c r="Y64" s="36">
        <v>6100</v>
      </c>
      <c r="Z64">
        <f t="shared" si="1"/>
        <v>97.185965053021533</v>
      </c>
      <c r="AA64">
        <f t="shared" si="6"/>
        <v>0.16963180374760611</v>
      </c>
      <c r="AB64" s="95">
        <v>6100</v>
      </c>
      <c r="AC64">
        <f t="shared" si="0"/>
        <v>41.207525184722002</v>
      </c>
      <c r="AD64" s="96">
        <f t="shared" si="7"/>
        <v>0.51416964823953748</v>
      </c>
      <c r="AE64" s="95">
        <v>6100</v>
      </c>
      <c r="AF64">
        <f t="shared" si="2"/>
        <v>27.642679101503333</v>
      </c>
      <c r="AG64" s="96">
        <f t="shared" si="3"/>
        <v>0.38481421424951989</v>
      </c>
      <c r="AH64">
        <v>6100</v>
      </c>
      <c r="AI64">
        <f t="shared" si="4"/>
        <v>75.492064075372966</v>
      </c>
      <c r="AJ64" s="37">
        <f t="shared" si="5"/>
        <v>0.571519453825033</v>
      </c>
      <c r="AO64" s="106"/>
    </row>
    <row r="65" spans="1:41" x14ac:dyDescent="0.25">
      <c r="A65" t="s">
        <v>169</v>
      </c>
      <c r="B65" s="1">
        <f>'Offensive Stats'!B22+'Offensive Stats'!B28+'Offensive Stats'!B32</f>
        <v>1</v>
      </c>
      <c r="E65" t="s">
        <v>318</v>
      </c>
      <c r="H65" t="s">
        <v>298</v>
      </c>
      <c r="K65" t="s">
        <v>298</v>
      </c>
      <c r="U65" s="110"/>
      <c r="Y65" s="36">
        <v>6200</v>
      </c>
      <c r="Z65">
        <f t="shared" si="1"/>
        <v>97.345952700351305</v>
      </c>
      <c r="AA65">
        <f t="shared" si="6"/>
        <v>0.15998764732977122</v>
      </c>
      <c r="AB65" s="95">
        <v>6200</v>
      </c>
      <c r="AC65">
        <f t="shared" si="0"/>
        <v>41.71723714648202</v>
      </c>
      <c r="AD65" s="96">
        <f t="shared" si="7"/>
        <v>0.50971196176001854</v>
      </c>
      <c r="AE65" s="95">
        <v>6200</v>
      </c>
      <c r="AF65">
        <f t="shared" si="2"/>
        <v>28.025457604548333</v>
      </c>
      <c r="AG65" s="96">
        <f t="shared" si="3"/>
        <v>0.3827785030449995</v>
      </c>
      <c r="AH65">
        <v>6200</v>
      </c>
      <c r="AI65">
        <f t="shared" si="4"/>
        <v>76.050559542784768</v>
      </c>
      <c r="AJ65" s="37">
        <f t="shared" si="5"/>
        <v>0.55849546741180234</v>
      </c>
      <c r="AO65" s="106"/>
    </row>
    <row r="66" spans="1:41" x14ac:dyDescent="0.25">
      <c r="E66" t="s">
        <v>304</v>
      </c>
      <c r="H66" t="s">
        <v>304</v>
      </c>
      <c r="K66" t="s">
        <v>304</v>
      </c>
      <c r="U66" s="110"/>
      <c r="Y66" s="36">
        <v>6300</v>
      </c>
      <c r="Z66">
        <f t="shared" si="1"/>
        <v>97.496844495006755</v>
      </c>
      <c r="AA66">
        <f t="shared" si="6"/>
        <v>0.15089179465545044</v>
      </c>
      <c r="AB66" s="95">
        <v>6300</v>
      </c>
      <c r="AC66">
        <f t="shared" si="0"/>
        <v>42.222530068479259</v>
      </c>
      <c r="AD66" s="96">
        <f t="shared" si="7"/>
        <v>0.50529292199723841</v>
      </c>
      <c r="AE66" s="95">
        <v>6300</v>
      </c>
      <c r="AF66">
        <f t="shared" si="2"/>
        <v>28.406211165533936</v>
      </c>
      <c r="AG66" s="96">
        <f t="shared" si="3"/>
        <v>0.3807535609856032</v>
      </c>
      <c r="AH66">
        <v>6300</v>
      </c>
      <c r="AI66">
        <f t="shared" si="4"/>
        <v>76.596327818968419</v>
      </c>
      <c r="AJ66" s="37">
        <f t="shared" si="5"/>
        <v>0.54576827618365087</v>
      </c>
      <c r="AO66" s="106"/>
    </row>
    <row r="67" spans="1:41" x14ac:dyDescent="0.25">
      <c r="A67" t="s">
        <v>187</v>
      </c>
      <c r="C67" s="1">
        <v>4</v>
      </c>
      <c r="E67" t="s">
        <v>319</v>
      </c>
      <c r="H67" t="s">
        <v>285</v>
      </c>
      <c r="K67" t="s">
        <v>299</v>
      </c>
      <c r="U67" s="110"/>
      <c r="Y67" s="36">
        <v>6400</v>
      </c>
      <c r="Z67">
        <f t="shared" si="1"/>
        <v>97.639157567761757</v>
      </c>
      <c r="AA67">
        <f t="shared" si="6"/>
        <v>0.14231307275500171</v>
      </c>
      <c r="AB67" s="97">
        <v>6400</v>
      </c>
      <c r="AC67" s="35">
        <f t="shared" si="0"/>
        <v>42.723442262375755</v>
      </c>
      <c r="AD67" s="98">
        <f t="shared" si="7"/>
        <v>0.50091219389649666</v>
      </c>
      <c r="AE67" s="95">
        <v>6400</v>
      </c>
      <c r="AF67">
        <f t="shared" si="2"/>
        <v>28.784950496635219</v>
      </c>
      <c r="AG67" s="96">
        <f t="shared" si="3"/>
        <v>0.37873933110128277</v>
      </c>
      <c r="AH67">
        <v>6400</v>
      </c>
      <c r="AI67">
        <f t="shared" si="4"/>
        <v>77.129658935635945</v>
      </c>
      <c r="AJ67" s="37">
        <f t="shared" si="5"/>
        <v>0.53333111666752586</v>
      </c>
      <c r="AO67" s="106"/>
    </row>
    <row r="68" spans="1:41" x14ac:dyDescent="0.25">
      <c r="A68" t="s">
        <v>168</v>
      </c>
      <c r="B68" s="1">
        <f>'Offensive Stats'!B22+'Offensive Stats'!B26</f>
        <v>1</v>
      </c>
      <c r="E68" t="s">
        <v>276</v>
      </c>
      <c r="H68" t="s">
        <v>276</v>
      </c>
      <c r="K68" t="s">
        <v>276</v>
      </c>
      <c r="U68" s="110"/>
      <c r="Y68" s="36">
        <v>6500</v>
      </c>
      <c r="Z68">
        <f t="shared" si="1"/>
        <v>97.77337964871198</v>
      </c>
      <c r="AA68">
        <f t="shared" si="6"/>
        <v>0.1342220809502237</v>
      </c>
      <c r="AB68" s="95">
        <v>6500</v>
      </c>
      <c r="AC68">
        <f t="shared" ref="AC68:AC131" si="8" xml:space="preserve"> (1 - (0.9^(AB68/1210))) * 100</f>
        <v>43.220011707683739</v>
      </c>
      <c r="AD68" s="96">
        <f t="shared" si="7"/>
        <v>0.49656944530798341</v>
      </c>
      <c r="AE68" s="95">
        <v>6500</v>
      </c>
      <c r="AF68">
        <f t="shared" si="2"/>
        <v>29.161686253358631</v>
      </c>
      <c r="AG68" s="96">
        <f t="shared" si="3"/>
        <v>0.37673575672341286</v>
      </c>
      <c r="AH68">
        <v>6500</v>
      </c>
      <c r="AI68">
        <f t="shared" si="4"/>
        <v>77.650836315154635</v>
      </c>
      <c r="AJ68" s="37">
        <f t="shared" si="5"/>
        <v>0.52117737951869003</v>
      </c>
      <c r="AO68" s="34"/>
    </row>
    <row r="69" spans="1:41" x14ac:dyDescent="0.25">
      <c r="A69" s="25"/>
      <c r="U69" s="110"/>
      <c r="Y69" s="36">
        <v>6600</v>
      </c>
      <c r="Z69">
        <f t="shared" ref="Z69:Z132" si="9" xml:space="preserve"> (1 - (0.9^(Y69/180))) * 100</f>
        <v>97.899970738805465</v>
      </c>
      <c r="AA69">
        <f t="shared" si="6"/>
        <v>0.12659109009348413</v>
      </c>
      <c r="AB69" s="95">
        <v>6600</v>
      </c>
      <c r="AC69">
        <f t="shared" si="8"/>
        <v>43.71227605464513</v>
      </c>
      <c r="AD69" s="96">
        <f t="shared" si="7"/>
        <v>0.49226434696139165</v>
      </c>
      <c r="AE69" s="95">
        <v>6600</v>
      </c>
      <c r="AF69">
        <f t="shared" ref="AF69:AF132" si="10" xml:space="preserve"> (1 - (0.5^(AE69/13068))) * 100</f>
        <v>29.536429034841795</v>
      </c>
      <c r="AG69" s="96">
        <f t="shared" ref="AG69:AG132" si="11">AF69-AF68</f>
        <v>0.37474278148316387</v>
      </c>
      <c r="AH69">
        <v>6600</v>
      </c>
      <c r="AI69">
        <f t="shared" ref="AI69:AI132" si="12" xml:space="preserve"> (1 - (0.8^(AH69/968))) * 100</f>
        <v>78.160136921163144</v>
      </c>
      <c r="AJ69" s="37">
        <f t="shared" ref="AJ69:AJ132" si="13">AI69-AI68</f>
        <v>0.50930060600850879</v>
      </c>
    </row>
    <row r="70" spans="1:41" x14ac:dyDescent="0.25">
      <c r="A70" t="s">
        <v>147</v>
      </c>
      <c r="C70" s="1">
        <v>0.9</v>
      </c>
      <c r="E70" t="s">
        <v>277</v>
      </c>
      <c r="H70" t="s">
        <v>277</v>
      </c>
      <c r="K70" t="s">
        <v>300</v>
      </c>
      <c r="U70" s="110"/>
      <c r="Y70" s="36">
        <v>6700</v>
      </c>
      <c r="Z70">
        <f t="shared" si="9"/>
        <v>98.019364686340822</v>
      </c>
      <c r="AA70">
        <f t="shared" ref="AA70:AA133" si="14">Z70-Z69</f>
        <v>0.11939394753535737</v>
      </c>
      <c r="AB70" s="95">
        <v>6700</v>
      </c>
      <c r="AC70">
        <f t="shared" si="8"/>
        <v>44.200272627086356</v>
      </c>
      <c r="AD70" s="96">
        <f t="shared" ref="AD70:AD133" si="15">AC70-AC69</f>
        <v>0.48799657244122585</v>
      </c>
      <c r="AE70" s="95">
        <v>6700</v>
      </c>
      <c r="AF70">
        <f t="shared" si="10"/>
        <v>29.909189384151645</v>
      </c>
      <c r="AG70" s="96">
        <f t="shared" si="11"/>
        <v>0.37276034930984991</v>
      </c>
      <c r="AH70">
        <v>6700</v>
      </c>
      <c r="AI70">
        <f t="shared" si="12"/>
        <v>78.657831405755289</v>
      </c>
      <c r="AJ70" s="37">
        <f t="shared" si="13"/>
        <v>0.49769448459214516</v>
      </c>
    </row>
    <row r="71" spans="1:41" x14ac:dyDescent="0.25">
      <c r="A71" t="s">
        <v>170</v>
      </c>
      <c r="B71" s="1">
        <f>'Offensive Stats'!B22+'Offensive Stats'!B24+'Offensive Stats'!B26</f>
        <v>1</v>
      </c>
      <c r="C71" s="1">
        <v>0.9</v>
      </c>
      <c r="E71" t="s">
        <v>281</v>
      </c>
      <c r="H71" t="s">
        <v>281</v>
      </c>
      <c r="K71" t="s">
        <v>281</v>
      </c>
      <c r="U71" s="110"/>
      <c r="Y71" s="36">
        <v>6800</v>
      </c>
      <c r="Z71">
        <f t="shared" si="9"/>
        <v>98.131970673836051</v>
      </c>
      <c r="AA71">
        <f t="shared" si="14"/>
        <v>0.11260598749522899</v>
      </c>
      <c r="AB71" s="95">
        <v>6800</v>
      </c>
      <c r="AC71">
        <f t="shared" si="8"/>
        <v>44.684038425248183</v>
      </c>
      <c r="AD71" s="96">
        <f t="shared" si="15"/>
        <v>0.48376579816182641</v>
      </c>
      <c r="AE71" s="95">
        <v>6800</v>
      </c>
      <c r="AF71">
        <f t="shared" si="10"/>
        <v>30.279977788581125</v>
      </c>
      <c r="AG71" s="96">
        <f t="shared" si="11"/>
        <v>0.37078840442947936</v>
      </c>
      <c r="AH71">
        <v>6800</v>
      </c>
      <c r="AI71">
        <f t="shared" si="12"/>
        <v>79.144184253309717</v>
      </c>
      <c r="AJ71" s="37">
        <f t="shared" si="13"/>
        <v>0.48635284755442854</v>
      </c>
    </row>
    <row r="72" spans="1:41" x14ac:dyDescent="0.25">
      <c r="A72" t="s">
        <v>171</v>
      </c>
      <c r="B72" s="1">
        <f>'Offensive Stats'!B22+'Offensive Stats'!B29+'Offensive Stats'!B32</f>
        <v>1</v>
      </c>
      <c r="E72" t="s">
        <v>278</v>
      </c>
      <c r="H72" t="s">
        <v>324</v>
      </c>
      <c r="K72" t="s">
        <v>301</v>
      </c>
      <c r="U72" s="110"/>
      <c r="Y72" s="36">
        <v>6900</v>
      </c>
      <c r="Z72">
        <f t="shared" si="9"/>
        <v>98.238174620363765</v>
      </c>
      <c r="AA72">
        <f t="shared" si="14"/>
        <v>0.10620394652771381</v>
      </c>
      <c r="AB72" s="95">
        <v>6900</v>
      </c>
      <c r="AC72">
        <f t="shared" si="8"/>
        <v>45.163610128591102</v>
      </c>
      <c r="AD72" s="96">
        <f t="shared" si="15"/>
        <v>0.47957170334291988</v>
      </c>
      <c r="AE72" s="95">
        <v>6900</v>
      </c>
      <c r="AF72">
        <f t="shared" si="10"/>
        <v>30.648804679944185</v>
      </c>
      <c r="AG72" s="96">
        <f t="shared" si="11"/>
        <v>0.36882689136306013</v>
      </c>
      <c r="AH72">
        <v>6900</v>
      </c>
      <c r="AI72">
        <f t="shared" si="12"/>
        <v>79.619453921042023</v>
      </c>
      <c r="AJ72" s="37">
        <f t="shared" si="13"/>
        <v>0.47526966773230583</v>
      </c>
    </row>
    <row r="73" spans="1:41" x14ac:dyDescent="0.25">
      <c r="E73" t="s">
        <v>280</v>
      </c>
      <c r="H73" t="s">
        <v>280</v>
      </c>
      <c r="K73" t="s">
        <v>280</v>
      </c>
      <c r="U73" s="110"/>
      <c r="Y73" s="36">
        <v>7000</v>
      </c>
      <c r="Z73">
        <f t="shared" si="9"/>
        <v>98.33834050415868</v>
      </c>
      <c r="AA73">
        <f t="shared" si="14"/>
        <v>0.10016588379491509</v>
      </c>
      <c r="AB73" s="95">
        <v>7000</v>
      </c>
      <c r="AC73">
        <f t="shared" si="8"/>
        <v>45.639024098576421</v>
      </c>
      <c r="AD73" s="96">
        <f t="shared" si="15"/>
        <v>0.47541396998531837</v>
      </c>
      <c r="AE73" s="95">
        <v>7000</v>
      </c>
      <c r="AF73">
        <f t="shared" si="10"/>
        <v>31.015680434869275</v>
      </c>
      <c r="AG73" s="96">
        <f t="shared" si="11"/>
        <v>0.36687575492508984</v>
      </c>
      <c r="AH73">
        <v>7000</v>
      </c>
      <c r="AI73">
        <f t="shared" si="12"/>
        <v>80.083892976353795</v>
      </c>
      <c r="AJ73" s="37">
        <f t="shared" si="13"/>
        <v>0.46443905531177165</v>
      </c>
    </row>
    <row r="74" spans="1:41" x14ac:dyDescent="0.25">
      <c r="A74" t="s">
        <v>148</v>
      </c>
      <c r="C74" s="1">
        <v>0.8</v>
      </c>
      <c r="E74" t="s">
        <v>279</v>
      </c>
      <c r="H74" t="s">
        <v>279</v>
      </c>
      <c r="K74" t="s">
        <v>279</v>
      </c>
      <c r="U74" s="94"/>
      <c r="Y74" s="36">
        <v>7100</v>
      </c>
      <c r="Z74">
        <f t="shared" si="9"/>
        <v>98.432811610030441</v>
      </c>
      <c r="AA74">
        <f t="shared" si="14"/>
        <v>9.4471105871761551E-2</v>
      </c>
      <c r="AB74" s="95">
        <v>7100</v>
      </c>
      <c r="AC74">
        <f t="shared" si="8"/>
        <v>46.110316381423189</v>
      </c>
      <c r="AD74" s="96">
        <f t="shared" si="15"/>
        <v>0.47129228284676827</v>
      </c>
      <c r="AE74" s="95">
        <v>7100</v>
      </c>
      <c r="AF74">
        <f t="shared" si="10"/>
        <v>31.380615375091303</v>
      </c>
      <c r="AG74" s="96">
        <f t="shared" si="11"/>
        <v>0.3649349402220281</v>
      </c>
      <c r="AH74">
        <v>7100</v>
      </c>
      <c r="AI74">
        <f t="shared" si="12"/>
        <v>80.537748231051822</v>
      </c>
      <c r="AJ74" s="37">
        <f t="shared" si="13"/>
        <v>0.45385525469802701</v>
      </c>
    </row>
    <row r="75" spans="1:41" x14ac:dyDescent="0.25">
      <c r="A75" t="s">
        <v>162</v>
      </c>
      <c r="B75" s="1">
        <f>'Offensive Stats'!B22+'Offensive Stats'!B23+'Offensive Stats'!B26</f>
        <v>1</v>
      </c>
      <c r="C75" s="1">
        <v>0.8</v>
      </c>
      <c r="E75" t="s">
        <v>282</v>
      </c>
      <c r="H75" t="s">
        <v>282</v>
      </c>
      <c r="K75" t="s">
        <v>282</v>
      </c>
      <c r="U75" s="94"/>
      <c r="Y75" s="36">
        <v>7200</v>
      </c>
      <c r="Z75">
        <f t="shared" si="9"/>
        <v>98.521911705856539</v>
      </c>
      <c r="AA75">
        <f t="shared" si="14"/>
        <v>8.9100095826097458E-2</v>
      </c>
      <c r="AB75" s="95">
        <v>7200</v>
      </c>
      <c r="AC75">
        <f t="shared" si="8"/>
        <v>46.577522710841265</v>
      </c>
      <c r="AD75" s="96">
        <f t="shared" si="15"/>
        <v>0.46720632941807594</v>
      </c>
      <c r="AE75" s="95">
        <v>7200</v>
      </c>
      <c r="AF75">
        <f t="shared" si="10"/>
        <v>31.743619767742025</v>
      </c>
      <c r="AG75" s="96">
        <f t="shared" si="11"/>
        <v>0.36300439265072271</v>
      </c>
      <c r="AH75">
        <v>7200</v>
      </c>
      <c r="AI75">
        <f t="shared" si="12"/>
        <v>80.981260872508599</v>
      </c>
      <c r="AJ75" s="37">
        <f t="shared" si="13"/>
        <v>0.4435126414567776</v>
      </c>
    </row>
    <row r="76" spans="1:41" x14ac:dyDescent="0.25">
      <c r="U76" s="94"/>
      <c r="Y76" s="36">
        <v>7300</v>
      </c>
      <c r="Z76">
        <f t="shared" si="9"/>
        <v>98.605946152187641</v>
      </c>
      <c r="AA76">
        <f t="shared" si="14"/>
        <v>8.4034446331102686E-2</v>
      </c>
      <c r="AB76" s="95">
        <v>7300</v>
      </c>
      <c r="AC76">
        <f t="shared" si="8"/>
        <v>47.040678510740705</v>
      </c>
      <c r="AD76" s="96">
        <f t="shared" si="15"/>
        <v>0.46315579989943956</v>
      </c>
      <c r="AE76" s="95">
        <v>7300</v>
      </c>
      <c r="AF76">
        <f t="shared" si="10"/>
        <v>32.104703825638893</v>
      </c>
      <c r="AG76" s="96">
        <f t="shared" si="11"/>
        <v>0.36108405789686771</v>
      </c>
      <c r="AH76">
        <v>7300</v>
      </c>
      <c r="AI76">
        <f t="shared" si="12"/>
        <v>81.414666591833893</v>
      </c>
      <c r="AJ76" s="37">
        <f t="shared" si="13"/>
        <v>0.43340571932529315</v>
      </c>
    </row>
    <row r="77" spans="1:41" x14ac:dyDescent="0.25">
      <c r="A77" t="s">
        <v>149</v>
      </c>
      <c r="C77" s="1">
        <v>1</v>
      </c>
      <c r="E77" t="s">
        <v>315</v>
      </c>
      <c r="H77" t="s">
        <v>315</v>
      </c>
      <c r="K77" t="s">
        <v>315</v>
      </c>
      <c r="Y77" s="36">
        <v>7400</v>
      </c>
      <c r="Z77">
        <f t="shared" si="9"/>
        <v>98.685202948767937</v>
      </c>
      <c r="AA77">
        <f t="shared" si="14"/>
        <v>7.9256796580295941E-2</v>
      </c>
      <c r="AB77" s="95">
        <v>7400</v>
      </c>
      <c r="AC77">
        <f t="shared" si="8"/>
        <v>47.499818897917514</v>
      </c>
      <c r="AD77" s="96">
        <f t="shared" si="15"/>
        <v>0.45914038717680938</v>
      </c>
      <c r="AE77" s="95">
        <v>7400</v>
      </c>
      <c r="AF77">
        <f t="shared" si="10"/>
        <v>32.463877707572372</v>
      </c>
      <c r="AG77" s="96">
        <f t="shared" si="11"/>
        <v>0.35917388193347932</v>
      </c>
      <c r="AH77">
        <v>7400</v>
      </c>
      <c r="AI77">
        <f t="shared" si="12"/>
        <v>81.838195709125543</v>
      </c>
      <c r="AJ77" s="37">
        <f t="shared" si="13"/>
        <v>0.42352911729165044</v>
      </c>
    </row>
    <row r="78" spans="1:41" x14ac:dyDescent="0.25">
      <c r="A78" t="s">
        <v>164</v>
      </c>
      <c r="B78" s="1">
        <f>'Offensive Stats'!B22+'Offensive Stats'!B24+'Offensive Stats'!B28+'Offensive Stats'!B32</f>
        <v>1</v>
      </c>
      <c r="C78" s="1">
        <v>1</v>
      </c>
      <c r="E78" t="s">
        <v>316</v>
      </c>
      <c r="H78" t="s">
        <v>316</v>
      </c>
      <c r="K78" t="s">
        <v>316</v>
      </c>
      <c r="Y78" s="36">
        <v>7500</v>
      </c>
      <c r="Z78">
        <f t="shared" si="9"/>
        <v>98.759953721557238</v>
      </c>
      <c r="AA78">
        <f t="shared" si="14"/>
        <v>7.4750772789300868E-2</v>
      </c>
      <c r="AB78" s="95">
        <v>7500</v>
      </c>
      <c r="AC78">
        <f t="shared" si="8"/>
        <v>47.954978684716366</v>
      </c>
      <c r="AD78" s="96">
        <f t="shared" si="15"/>
        <v>0.45515978679885194</v>
      </c>
      <c r="AE78" s="95">
        <v>7500</v>
      </c>
      <c r="AF78">
        <f t="shared" si="10"/>
        <v>32.821151518591776</v>
      </c>
      <c r="AG78" s="96">
        <f t="shared" si="11"/>
        <v>0.35727381101940381</v>
      </c>
      <c r="AH78">
        <v>7500</v>
      </c>
      <c r="AI78">
        <f t="shared" si="12"/>
        <v>82.252073295865955</v>
      </c>
      <c r="AJ78" s="37">
        <f t="shared" si="13"/>
        <v>0.41387758674041208</v>
      </c>
    </row>
    <row r="79" spans="1:41" x14ac:dyDescent="0.25">
      <c r="A79" t="s">
        <v>165</v>
      </c>
      <c r="B79" s="1">
        <f>'Offensive Stats'!B22+'Offensive Stats'!B30+'Offensive Stats'!B32</f>
        <v>1</v>
      </c>
      <c r="E79" t="s">
        <v>320</v>
      </c>
      <c r="H79" t="s">
        <v>320</v>
      </c>
      <c r="K79" t="s">
        <v>320</v>
      </c>
      <c r="Y79" s="36">
        <v>7600</v>
      </c>
      <c r="Z79">
        <f t="shared" si="9"/>
        <v>98.830454653637389</v>
      </c>
      <c r="AA79">
        <f t="shared" si="14"/>
        <v>7.0500932080150847E-2</v>
      </c>
      <c r="AB79" s="95">
        <v>7600</v>
      </c>
      <c r="AC79">
        <f t="shared" si="8"/>
        <v>48.40619238167001</v>
      </c>
      <c r="AD79" s="96">
        <f t="shared" si="15"/>
        <v>0.45121369695364422</v>
      </c>
      <c r="AE79" s="95">
        <v>7600</v>
      </c>
      <c r="AF79">
        <f t="shared" si="10"/>
        <v>33.176535310289559</v>
      </c>
      <c r="AG79" s="96">
        <f t="shared" si="11"/>
        <v>0.35538379169778267</v>
      </c>
      <c r="AH79">
        <v>7600</v>
      </c>
      <c r="AI79">
        <f t="shared" si="12"/>
        <v>82.656519294529403</v>
      </c>
      <c r="AJ79" s="37">
        <f t="shared" si="13"/>
        <v>0.40444599866344788</v>
      </c>
    </row>
    <row r="80" spans="1:41" x14ac:dyDescent="0.25">
      <c r="M80" s="94"/>
      <c r="Y80" s="36">
        <v>7700</v>
      </c>
      <c r="Z80">
        <f t="shared" si="9"/>
        <v>98.896947363193448</v>
      </c>
      <c r="AA80">
        <f t="shared" si="14"/>
        <v>6.6492709556058571E-2</v>
      </c>
      <c r="AB80" s="95">
        <v>7700</v>
      </c>
      <c r="AC80">
        <f t="shared" si="8"/>
        <v>48.85349420011589</v>
      </c>
      <c r="AD80" s="96">
        <f t="shared" si="15"/>
        <v>0.44730181844587946</v>
      </c>
      <c r="AE80" s="95">
        <v>7700</v>
      </c>
      <c r="AF80">
        <f t="shared" si="10"/>
        <v>33.530039081084084</v>
      </c>
      <c r="AG80" s="96">
        <f t="shared" si="11"/>
        <v>0.353503770794525</v>
      </c>
      <c r="AH80">
        <v>7700</v>
      </c>
      <c r="AI80">
        <f t="shared" si="12"/>
        <v>83.051748635463653</v>
      </c>
      <c r="AJ80" s="37">
        <f t="shared" si="13"/>
        <v>0.39522934093425022</v>
      </c>
    </row>
    <row r="81" spans="1:36" x14ac:dyDescent="0.25">
      <c r="A81" t="s">
        <v>150</v>
      </c>
      <c r="C81" s="1">
        <v>0.3</v>
      </c>
      <c r="Y81" s="36">
        <v>7800</v>
      </c>
      <c r="Z81">
        <f t="shared" si="9"/>
        <v>98.959659731578597</v>
      </c>
      <c r="AA81">
        <f t="shared" si="14"/>
        <v>6.2712368385149375E-2</v>
      </c>
      <c r="AB81" s="95">
        <v>7800</v>
      </c>
      <c r="AC81">
        <f t="shared" si="8"/>
        <v>49.29691805479014</v>
      </c>
      <c r="AD81" s="96">
        <f t="shared" si="15"/>
        <v>0.44342385467425061</v>
      </c>
      <c r="AE81" s="95">
        <v>7800</v>
      </c>
      <c r="AF81">
        <f t="shared" si="10"/>
        <v>33.881672776500963</v>
      </c>
      <c r="AG81" s="96">
        <f t="shared" si="11"/>
        <v>0.35163369541687928</v>
      </c>
      <c r="AH81">
        <v>7800</v>
      </c>
      <c r="AI81">
        <f t="shared" si="12"/>
        <v>83.437971351108104</v>
      </c>
      <c r="AJ81" s="37">
        <f t="shared" si="13"/>
        <v>0.38622271564445043</v>
      </c>
    </row>
    <row r="82" spans="1:36" x14ac:dyDescent="0.25">
      <c r="A82" t="s">
        <v>160</v>
      </c>
      <c r="B82" s="1">
        <f>'Offensive Stats'!B22+'Offensive Stats'!B24+'Offensive Stats'!B27+'Offensive Stats'!B26</f>
        <v>1</v>
      </c>
      <c r="C82" s="1">
        <v>1</v>
      </c>
      <c r="Y82" s="36">
        <v>7900</v>
      </c>
      <c r="Z82">
        <f t="shared" si="9"/>
        <v>99.018806684300671</v>
      </c>
      <c r="AA82">
        <f t="shared" si="14"/>
        <v>5.914695272207382E-2</v>
      </c>
      <c r="AB82" s="95">
        <v>7900</v>
      </c>
      <c r="AC82">
        <f t="shared" si="8"/>
        <v>49.736497566398917</v>
      </c>
      <c r="AD82" s="96">
        <f t="shared" si="15"/>
        <v>0.43957951160877684</v>
      </c>
      <c r="AE82" s="95">
        <v>7900</v>
      </c>
      <c r="AF82">
        <f t="shared" si="10"/>
        <v>34.231446289452805</v>
      </c>
      <c r="AG82" s="96">
        <f t="shared" si="11"/>
        <v>0.34977351295184178</v>
      </c>
      <c r="AH82">
        <v>7900</v>
      </c>
      <c r="AI82">
        <f t="shared" si="12"/>
        <v>83.815392687608963</v>
      </c>
      <c r="AJ82" s="37">
        <f t="shared" si="13"/>
        <v>0.37742133650085918</v>
      </c>
    </row>
    <row r="83" spans="1:36" x14ac:dyDescent="0.25">
      <c r="A83" t="s">
        <v>159</v>
      </c>
      <c r="B83" s="1">
        <f>'Offensive Stats'!B22+'Offensive Stats'!B23+'Offensive Stats'!B27+'Offensive Stats'!B26</f>
        <v>1</v>
      </c>
      <c r="E83" s="35" t="s">
        <v>305</v>
      </c>
      <c r="H83" s="35" t="s">
        <v>308</v>
      </c>
      <c r="K83" s="35" t="s">
        <v>283</v>
      </c>
      <c r="Y83" s="36">
        <v>8000</v>
      </c>
      <c r="Z83">
        <f t="shared" si="9"/>
        <v>99.074590927606877</v>
      </c>
      <c r="AA83">
        <f t="shared" si="14"/>
        <v>5.5784243306206349E-2</v>
      </c>
      <c r="AB83" s="95">
        <v>8000</v>
      </c>
      <c r="AC83">
        <f t="shared" si="8"/>
        <v>50.172266064167673</v>
      </c>
      <c r="AD83" s="96">
        <f t="shared" si="15"/>
        <v>0.43576849776875548</v>
      </c>
      <c r="AE83" s="95">
        <v>8000</v>
      </c>
      <c r="AF83">
        <f t="shared" si="10"/>
        <v>34.579369460517604</v>
      </c>
      <c r="AG83" s="96">
        <f t="shared" si="11"/>
        <v>0.34792317106479942</v>
      </c>
      <c r="AH83">
        <v>8000</v>
      </c>
      <c r="AI83">
        <f t="shared" si="12"/>
        <v>84.184213213891113</v>
      </c>
      <c r="AJ83" s="37">
        <f t="shared" si="13"/>
        <v>0.36882052628214979</v>
      </c>
    </row>
    <row r="84" spans="1:36" x14ac:dyDescent="0.25">
      <c r="E84" t="s">
        <v>306</v>
      </c>
      <c r="H84" t="s">
        <v>309</v>
      </c>
      <c r="K84" t="s">
        <v>284</v>
      </c>
      <c r="Y84" s="36">
        <v>8100</v>
      </c>
      <c r="Z84">
        <f t="shared" si="9"/>
        <v>99.127203643191237</v>
      </c>
      <c r="AA84">
        <f t="shared" si="14"/>
        <v>5.2612715584359648E-2</v>
      </c>
      <c r="AB84" s="95">
        <v>8100</v>
      </c>
      <c r="AC84">
        <f t="shared" si="8"/>
        <v>50.604256588368045</v>
      </c>
      <c r="AD84" s="96">
        <f t="shared" si="15"/>
        <v>0.43199052420037276</v>
      </c>
      <c r="AE84" s="95">
        <v>8100</v>
      </c>
      <c r="AF84">
        <f t="shared" si="10"/>
        <v>34.925452078215578</v>
      </c>
      <c r="AG84" s="96">
        <f t="shared" si="11"/>
        <v>0.34608261769797366</v>
      </c>
      <c r="AH84">
        <v>8100</v>
      </c>
      <c r="AI84">
        <f t="shared" si="12"/>
        <v>84.544628928244165</v>
      </c>
      <c r="AJ84" s="37">
        <f t="shared" si="13"/>
        <v>0.36041571435305286</v>
      </c>
    </row>
    <row r="85" spans="1:36" x14ac:dyDescent="0.25">
      <c r="A85" t="s">
        <v>151</v>
      </c>
      <c r="C85" s="1">
        <v>1</v>
      </c>
      <c r="E85" t="s">
        <v>273</v>
      </c>
      <c r="H85" t="s">
        <v>273</v>
      </c>
      <c r="K85" t="s">
        <v>273</v>
      </c>
      <c r="Y85" s="36">
        <v>8200</v>
      </c>
      <c r="Z85">
        <f t="shared" si="9"/>
        <v>99.176825143405281</v>
      </c>
      <c r="AA85">
        <f t="shared" si="14"/>
        <v>4.9621500214044545E-2</v>
      </c>
      <c r="AB85" s="95">
        <v>8200</v>
      </c>
      <c r="AC85">
        <f t="shared" si="8"/>
        <v>51.032501892823134</v>
      </c>
      <c r="AD85" s="96">
        <f t="shared" si="15"/>
        <v>0.42824530445508913</v>
      </c>
      <c r="AE85" s="95">
        <v>8200</v>
      </c>
      <c r="AF85">
        <f t="shared" si="10"/>
        <v>35.269703879284521</v>
      </c>
      <c r="AG85" s="96">
        <f t="shared" si="11"/>
        <v>0.3442518010689426</v>
      </c>
      <c r="AH85">
        <v>8200</v>
      </c>
      <c r="AI85">
        <f t="shared" si="12"/>
        <v>84.896831362479716</v>
      </c>
      <c r="AJ85" s="37">
        <f t="shared" si="13"/>
        <v>0.35220243423555075</v>
      </c>
    </row>
    <row r="86" spans="1:36" x14ac:dyDescent="0.25">
      <c r="A86" t="s">
        <v>162</v>
      </c>
      <c r="B86" s="1">
        <f>'Offensive Stats'!B22+'Offensive Stats'!B23+'Offensive Stats'!B26</f>
        <v>1</v>
      </c>
      <c r="C86" s="1">
        <v>1</v>
      </c>
      <c r="E86" t="s">
        <v>274</v>
      </c>
      <c r="H86" t="s">
        <v>274</v>
      </c>
      <c r="K86" t="s">
        <v>274</v>
      </c>
      <c r="Y86" s="36">
        <v>8300</v>
      </c>
      <c r="Z86">
        <f t="shared" si="9"/>
        <v>99.22362548921798</v>
      </c>
      <c r="AA86">
        <f t="shared" si="14"/>
        <v>4.6800345812698652E-2</v>
      </c>
      <c r="AB86" s="95">
        <v>8300</v>
      </c>
      <c r="AC86">
        <f t="shared" si="8"/>
        <v>51.457034447390868</v>
      </c>
      <c r="AD86" s="96">
        <f t="shared" si="15"/>
        <v>0.4245325545677332</v>
      </c>
      <c r="AE86" s="95">
        <v>8300</v>
      </c>
      <c r="AF86">
        <f t="shared" si="10"/>
        <v>35.612134548953811</v>
      </c>
      <c r="AG86" s="96">
        <f t="shared" si="11"/>
        <v>0.34243066966929092</v>
      </c>
      <c r="AH86">
        <v>8300</v>
      </c>
      <c r="AI86">
        <f t="shared" si="12"/>
        <v>85.241007683715125</v>
      </c>
      <c r="AJ86" s="37">
        <f t="shared" si="13"/>
        <v>0.34417632123540898</v>
      </c>
    </row>
    <row r="87" spans="1:36" x14ac:dyDescent="0.25">
      <c r="E87" t="s">
        <v>275</v>
      </c>
      <c r="H87" t="s">
        <v>275</v>
      </c>
      <c r="K87" t="s">
        <v>275</v>
      </c>
      <c r="Y87" s="36">
        <v>8400</v>
      </c>
      <c r="Z87">
        <f t="shared" si="9"/>
        <v>99.267765073042341</v>
      </c>
      <c r="AA87">
        <f t="shared" si="14"/>
        <v>4.4139583824360784E-2</v>
      </c>
      <c r="AB87" s="95">
        <v>8400</v>
      </c>
      <c r="AC87">
        <f t="shared" si="8"/>
        <v>51.877886440425854</v>
      </c>
      <c r="AD87" s="96">
        <f t="shared" si="15"/>
        <v>0.42085199303498655</v>
      </c>
      <c r="AE87" s="95">
        <v>8400</v>
      </c>
      <c r="AF87">
        <f t="shared" si="10"/>
        <v>35.952753721216816</v>
      </c>
      <c r="AG87" s="96">
        <f t="shared" si="11"/>
        <v>0.34061917226300409</v>
      </c>
      <c r="AH87">
        <v>8400</v>
      </c>
      <c r="AI87">
        <f t="shared" si="12"/>
        <v>85.577340793837536</v>
      </c>
      <c r="AJ87" s="37">
        <f t="shared" si="13"/>
        <v>0.33633311012241052</v>
      </c>
    </row>
    <row r="88" spans="1:36" x14ac:dyDescent="0.25">
      <c r="A88" t="s">
        <v>152</v>
      </c>
      <c r="C88" s="1">
        <v>1.2</v>
      </c>
      <c r="E88" t="s">
        <v>298</v>
      </c>
      <c r="K88" t="s">
        <v>298</v>
      </c>
      <c r="Y88" s="36">
        <v>8500</v>
      </c>
      <c r="Z88">
        <f t="shared" si="9"/>
        <v>99.309395168426335</v>
      </c>
      <c r="AA88">
        <f t="shared" si="14"/>
        <v>4.1630095383993648E-2</v>
      </c>
      <c r="AB88" s="95">
        <v>8500</v>
      </c>
      <c r="AC88">
        <f t="shared" si="8"/>
        <v>52.295089781219993</v>
      </c>
      <c r="AD88" s="96">
        <f t="shared" si="15"/>
        <v>0.41720334079413846</v>
      </c>
      <c r="AE88" s="95">
        <v>8500</v>
      </c>
      <c r="AF88">
        <f t="shared" si="10"/>
        <v>36.291570979102005</v>
      </c>
      <c r="AG88" s="96">
        <f t="shared" si="11"/>
        <v>0.33881725788518935</v>
      </c>
      <c r="AH88">
        <v>8500</v>
      </c>
      <c r="AI88">
        <f t="shared" si="12"/>
        <v>85.906009426701573</v>
      </c>
      <c r="AJ88" s="37">
        <f t="shared" si="13"/>
        <v>0.32866863286403714</v>
      </c>
    </row>
    <row r="89" spans="1:36" x14ac:dyDescent="0.25">
      <c r="A89" t="s">
        <v>172</v>
      </c>
      <c r="B89" s="1">
        <f>'Offensive Stats'!B22+'Offensive Stats'!B24+'Offensive Stats'!B26</f>
        <v>1</v>
      </c>
      <c r="C89" s="1">
        <v>1.2</v>
      </c>
      <c r="E89" t="s">
        <v>304</v>
      </c>
      <c r="H89" t="s">
        <v>304</v>
      </c>
      <c r="K89" t="s">
        <v>304</v>
      </c>
      <c r="Y89" s="36">
        <v>8600</v>
      </c>
      <c r="Z89">
        <f t="shared" si="9"/>
        <v>99.348658448492102</v>
      </c>
      <c r="AA89">
        <f t="shared" si="14"/>
        <v>3.9263280065767958E-2</v>
      </c>
      <c r="AB89" s="95">
        <v>8600</v>
      </c>
      <c r="AC89">
        <f t="shared" si="8"/>
        <v>52.708676102421784</v>
      </c>
      <c r="AD89" s="96">
        <f t="shared" si="15"/>
        <v>0.41358632120179095</v>
      </c>
      <c r="AE89" s="95">
        <v>8600</v>
      </c>
      <c r="AF89">
        <f t="shared" si="10"/>
        <v>36.628595854942525</v>
      </c>
      <c r="AG89" s="96">
        <f t="shared" si="11"/>
        <v>0.33702487584051966</v>
      </c>
      <c r="AH89">
        <v>8600</v>
      </c>
      <c r="AI89">
        <f t="shared" si="12"/>
        <v>86.227188243111883</v>
      </c>
      <c r="AJ89" s="37">
        <f t="shared" si="13"/>
        <v>0.32117881641030976</v>
      </c>
    </row>
    <row r="90" spans="1:36" x14ac:dyDescent="0.25">
      <c r="A90" t="s">
        <v>173</v>
      </c>
      <c r="B90" s="1">
        <f>'Offensive Stats'!B22+'Offensive Stats'!B24+'Offensive Stats'!B28+'Offensive Stats'!B32</f>
        <v>1</v>
      </c>
      <c r="E90" t="s">
        <v>285</v>
      </c>
      <c r="H90" t="s">
        <v>299</v>
      </c>
      <c r="K90" t="s">
        <v>285</v>
      </c>
      <c r="Y90" s="36">
        <v>8700</v>
      </c>
      <c r="Z90">
        <f t="shared" si="9"/>
        <v>99.385689474899834</v>
      </c>
      <c r="AA90">
        <f t="shared" si="14"/>
        <v>3.7031026407731815E-2</v>
      </c>
      <c r="AB90" s="95">
        <v>8700</v>
      </c>
      <c r="AC90">
        <f t="shared" si="8"/>
        <v>53.118676762434802</v>
      </c>
      <c r="AD90" s="96">
        <f t="shared" si="15"/>
        <v>0.4100006600130186</v>
      </c>
      <c r="AE90" s="95">
        <v>8700</v>
      </c>
      <c r="AF90">
        <f t="shared" si="10"/>
        <v>36.963837830644387</v>
      </c>
      <c r="AG90" s="96">
        <f t="shared" si="11"/>
        <v>0.33524197570186232</v>
      </c>
      <c r="AH90">
        <v>8700</v>
      </c>
      <c r="AI90">
        <f t="shared" si="12"/>
        <v>86.541047923641273</v>
      </c>
      <c r="AJ90" s="37">
        <f t="shared" si="13"/>
        <v>0.31385968052939006</v>
      </c>
    </row>
    <row r="91" spans="1:36" x14ac:dyDescent="0.25">
      <c r="A91" t="s">
        <v>174</v>
      </c>
      <c r="B91" s="1">
        <f>'Offensive Stats'!B22+'Offensive Stats'!B24+'Offensive Stats'!B30+'Offensive Stats'!B32</f>
        <v>1</v>
      </c>
      <c r="E91" t="s">
        <v>276</v>
      </c>
      <c r="H91" t="s">
        <v>310</v>
      </c>
      <c r="K91" t="s">
        <v>276</v>
      </c>
      <c r="Y91" s="36">
        <v>8800</v>
      </c>
      <c r="Z91">
        <f t="shared" si="9"/>
        <v>99.420615159012698</v>
      </c>
      <c r="AA91">
        <f t="shared" si="14"/>
        <v>3.4925684112863564E-2</v>
      </c>
      <c r="AB91" s="95">
        <v>8800</v>
      </c>
      <c r="AC91">
        <f t="shared" si="8"/>
        <v>53.525122847795295</v>
      </c>
      <c r="AD91" s="96">
        <f t="shared" si="15"/>
        <v>0.40644608536049276</v>
      </c>
      <c r="AE91" s="95">
        <v>8800</v>
      </c>
      <c r="AF91">
        <f t="shared" si="10"/>
        <v>37.297306337953231</v>
      </c>
      <c r="AG91" s="96">
        <f t="shared" si="11"/>
        <v>0.3334685073088437</v>
      </c>
      <c r="AH91">
        <v>8800</v>
      </c>
      <c r="AI91">
        <f t="shared" si="12"/>
        <v>86.847755259333525</v>
      </c>
      <c r="AJ91" s="37">
        <f t="shared" si="13"/>
        <v>0.30670733569225206</v>
      </c>
    </row>
    <row r="92" spans="1:36" x14ac:dyDescent="0.25">
      <c r="Y92" s="36">
        <v>8900</v>
      </c>
      <c r="Z92">
        <f t="shared" si="9"/>
        <v>99.453555196842586</v>
      </c>
      <c r="AA92">
        <f t="shared" si="14"/>
        <v>3.2940037829888524E-2</v>
      </c>
      <c r="AB92" s="95">
        <v>8900</v>
      </c>
      <c r="AC92">
        <f t="shared" si="8"/>
        <v>53.928045175529164</v>
      </c>
      <c r="AD92" s="96">
        <f t="shared" si="15"/>
        <v>0.40292232773386871</v>
      </c>
      <c r="AE92" s="95">
        <v>8900</v>
      </c>
      <c r="AF92">
        <f t="shared" si="10"/>
        <v>37.629010758719673</v>
      </c>
      <c r="AG92" s="96">
        <f t="shared" si="11"/>
        <v>0.33170442076644235</v>
      </c>
      <c r="AH92">
        <v>8900</v>
      </c>
      <c r="AI92">
        <f t="shared" si="12"/>
        <v>87.147473240339494</v>
      </c>
      <c r="AJ92" s="37">
        <f t="shared" si="13"/>
        <v>0.29971798100596914</v>
      </c>
    </row>
    <row r="93" spans="1:36" x14ac:dyDescent="0.25">
      <c r="A93" t="s">
        <v>153</v>
      </c>
      <c r="E93" t="s">
        <v>277</v>
      </c>
      <c r="H93" t="s">
        <v>277</v>
      </c>
      <c r="K93" t="s">
        <v>277</v>
      </c>
      <c r="Y93" s="36">
        <v>9000</v>
      </c>
      <c r="Z93">
        <f t="shared" si="9"/>
        <v>99.484622479267998</v>
      </c>
      <c r="AA93">
        <f t="shared" si="14"/>
        <v>3.1067282425411236E-2</v>
      </c>
      <c r="AB93" s="95">
        <v>9000</v>
      </c>
      <c r="AC93">
        <f t="shared" si="8"/>
        <v>54.327474295488521</v>
      </c>
      <c r="AD93" s="96">
        <f t="shared" si="15"/>
        <v>0.39942911995935759</v>
      </c>
      <c r="AE93" s="95">
        <v>9000</v>
      </c>
      <c r="AF93">
        <f t="shared" si="10"/>
        <v>37.958960425163305</v>
      </c>
      <c r="AG93" s="96">
        <f t="shared" si="11"/>
        <v>0.32994966644363188</v>
      </c>
      <c r="AH93">
        <v>9000</v>
      </c>
      <c r="AI93">
        <f t="shared" si="12"/>
        <v>87.440361142533078</v>
      </c>
      <c r="AJ93" s="37">
        <f t="shared" si="13"/>
        <v>0.29288790219358418</v>
      </c>
    </row>
    <row r="94" spans="1:36" x14ac:dyDescent="0.25">
      <c r="A94" t="s">
        <v>170</v>
      </c>
      <c r="B94" s="1">
        <f>'Offensive Stats'!B22+'Offensive Stats'!B24+'Offensive Stats'!B26</f>
        <v>1</v>
      </c>
      <c r="C94" s="1">
        <v>1.7</v>
      </c>
      <c r="E94" t="s">
        <v>286</v>
      </c>
      <c r="H94" t="s">
        <v>286</v>
      </c>
      <c r="K94" t="s">
        <v>286</v>
      </c>
      <c r="Y94" s="36">
        <v>9100</v>
      </c>
      <c r="Z94">
        <f t="shared" si="9"/>
        <v>99.513923478929371</v>
      </c>
      <c r="AA94">
        <f t="shared" si="14"/>
        <v>2.9300999661373339E-2</v>
      </c>
      <c r="AB94" s="95">
        <v>9100</v>
      </c>
      <c r="AC94">
        <f t="shared" si="8"/>
        <v>54.723440492668097</v>
      </c>
      <c r="AD94" s="96">
        <f t="shared" si="15"/>
        <v>0.39596619717957537</v>
      </c>
      <c r="AE94" s="95">
        <v>9100</v>
      </c>
      <c r="AF94">
        <f t="shared" si="10"/>
        <v>38.287164620135172</v>
      </c>
      <c r="AG94" s="96">
        <f t="shared" si="11"/>
        <v>0.32820419497186748</v>
      </c>
      <c r="AH94">
        <v>9100</v>
      </c>
      <c r="AI94">
        <f t="shared" si="12"/>
        <v>87.726574612153584</v>
      </c>
      <c r="AJ94" s="37">
        <f t="shared" si="13"/>
        <v>0.28621346962050609</v>
      </c>
    </row>
    <row r="95" spans="1:36" x14ac:dyDescent="0.25">
      <c r="A95" t="s">
        <v>171</v>
      </c>
      <c r="B95" s="1">
        <f>'Offensive Stats'!B22+'Offensive Stats'!B24+'Offensive Stats'!B29+'Offensive Stats'!B32</f>
        <v>1</v>
      </c>
      <c r="C95" s="1">
        <v>1.6</v>
      </c>
      <c r="E95" t="s">
        <v>279</v>
      </c>
      <c r="H95" t="s">
        <v>279</v>
      </c>
      <c r="K95" t="s">
        <v>279</v>
      </c>
      <c r="Y95" s="36">
        <v>9200</v>
      </c>
      <c r="Z95">
        <f t="shared" si="9"/>
        <v>99.541558615128324</v>
      </c>
      <c r="AA95">
        <f t="shared" si="14"/>
        <v>2.7635136198952637E-2</v>
      </c>
      <c r="AB95" s="95">
        <v>9200</v>
      </c>
      <c r="AC95">
        <f t="shared" si="8"/>
        <v>55.115973789501339</v>
      </c>
      <c r="AD95" s="96">
        <f t="shared" si="15"/>
        <v>0.39253329683324267</v>
      </c>
      <c r="AE95" s="95">
        <v>9200</v>
      </c>
      <c r="AF95">
        <f t="shared" si="10"/>
        <v>38.613632577378986</v>
      </c>
      <c r="AG95" s="96">
        <f t="shared" si="11"/>
        <v>0.32646795724381406</v>
      </c>
      <c r="AH95">
        <v>9200</v>
      </c>
      <c r="AI95">
        <f t="shared" si="12"/>
        <v>88.00626574851897</v>
      </c>
      <c r="AJ95" s="37">
        <f t="shared" si="13"/>
        <v>0.27969113636538623</v>
      </c>
    </row>
    <row r="96" spans="1:36" x14ac:dyDescent="0.25">
      <c r="A96" s="25"/>
      <c r="E96" t="s">
        <v>282</v>
      </c>
      <c r="H96" t="s">
        <v>282</v>
      </c>
      <c r="K96" t="s">
        <v>282</v>
      </c>
      <c r="Y96" s="36">
        <v>9300</v>
      </c>
      <c r="Z96">
        <f t="shared" si="9"/>
        <v>99.567622597980758</v>
      </c>
      <c r="AA96">
        <f t="shared" si="14"/>
        <v>2.6063982852434719E-2</v>
      </c>
      <c r="AB96" s="95">
        <v>9300</v>
      </c>
      <c r="AC96">
        <f t="shared" si="8"/>
        <v>55.505103948136814</v>
      </c>
      <c r="AD96" s="96">
        <f t="shared" si="15"/>
        <v>0.38913015863547429</v>
      </c>
      <c r="AE96" s="95">
        <v>9300</v>
      </c>
      <c r="AF96">
        <f t="shared" si="10"/>
        <v>38.938373481790919</v>
      </c>
      <c r="AG96" s="96">
        <f t="shared" si="11"/>
        <v>0.32474090441193226</v>
      </c>
      <c r="AH96">
        <v>9300</v>
      </c>
      <c r="AI96">
        <f t="shared" si="12"/>
        <v>88.279583184854474</v>
      </c>
      <c r="AJ96" s="37">
        <f t="shared" si="13"/>
        <v>0.27331743633550332</v>
      </c>
    </row>
    <row r="97" spans="1:38" x14ac:dyDescent="0.25">
      <c r="A97" t="s">
        <v>189</v>
      </c>
      <c r="C97" s="1">
        <v>2</v>
      </c>
      <c r="E97" t="s">
        <v>287</v>
      </c>
      <c r="H97" t="s">
        <v>287</v>
      </c>
      <c r="K97" t="s">
        <v>287</v>
      </c>
      <c r="Y97" s="36">
        <v>9400</v>
      </c>
      <c r="Z97">
        <f t="shared" si="9"/>
        <v>99.592204753004069</v>
      </c>
      <c r="AA97">
        <f t="shared" si="14"/>
        <v>2.4582155023310293E-2</v>
      </c>
      <c r="AB97" s="95">
        <v>9400</v>
      </c>
      <c r="AC97">
        <f t="shared" si="8"/>
        <v>55.890860472694783</v>
      </c>
      <c r="AD97" s="96">
        <f t="shared" si="15"/>
        <v>0.38575652455796927</v>
      </c>
      <c r="AE97" s="95">
        <v>9400</v>
      </c>
      <c r="AF97">
        <f t="shared" si="10"/>
        <v>39.261396469677955</v>
      </c>
      <c r="AG97" s="96">
        <f t="shared" si="11"/>
        <v>0.32302298788703609</v>
      </c>
      <c r="AH97">
        <v>9400</v>
      </c>
      <c r="AI97">
        <f t="shared" si="12"/>
        <v>88.546672167279056</v>
      </c>
      <c r="AJ97" s="37">
        <f t="shared" si="13"/>
        <v>0.2670889824245819</v>
      </c>
    </row>
    <row r="98" spans="1:38" x14ac:dyDescent="0.25">
      <c r="A98" t="s">
        <v>166</v>
      </c>
      <c r="B98" s="1">
        <f>'Offensive Stats'!B22+'Offensive Stats'!B26</f>
        <v>1</v>
      </c>
      <c r="E98" t="s">
        <v>307</v>
      </c>
      <c r="H98" t="s">
        <v>307</v>
      </c>
      <c r="K98" t="s">
        <v>288</v>
      </c>
      <c r="Y98" s="36">
        <v>9500</v>
      </c>
      <c r="Z98">
        <f t="shared" si="9"/>
        <v>99.615389327250099</v>
      </c>
      <c r="AA98">
        <f t="shared" si="14"/>
        <v>2.318457424603082E-2</v>
      </c>
      <c r="AB98" s="95">
        <v>9500</v>
      </c>
      <c r="AC98">
        <f t="shared" si="8"/>
        <v>56.27327261150419</v>
      </c>
      <c r="AD98" s="96">
        <f t="shared" si="15"/>
        <v>0.38241213880940705</v>
      </c>
      <c r="AE98" s="95">
        <v>9500</v>
      </c>
      <c r="AF98">
        <f t="shared" si="10"/>
        <v>39.582710629014997</v>
      </c>
      <c r="AG98" s="96">
        <f t="shared" si="11"/>
        <v>0.32131415933704233</v>
      </c>
      <c r="AH98">
        <v>9500</v>
      </c>
      <c r="AI98">
        <f t="shared" si="12"/>
        <v>88.807674631992057</v>
      </c>
      <c r="AJ98" s="37">
        <f t="shared" si="13"/>
        <v>0.26100246471300181</v>
      </c>
    </row>
    <row r="99" spans="1:38" x14ac:dyDescent="0.25">
      <c r="A99" t="s">
        <v>175</v>
      </c>
      <c r="B99" s="1">
        <f>'Offensive Stats'!B22+'Offensive Stats'!B29+'Offensive Stats'!B32</f>
        <v>1</v>
      </c>
      <c r="Y99" s="36">
        <v>9600</v>
      </c>
      <c r="Z99">
        <f t="shared" si="9"/>
        <v>99.637255778033605</v>
      </c>
      <c r="AA99">
        <f t="shared" si="14"/>
        <v>2.1866450783505798E-2</v>
      </c>
      <c r="AB99" s="95">
        <v>9600</v>
      </c>
      <c r="AC99">
        <f t="shared" si="8"/>
        <v>56.652369359320353</v>
      </c>
      <c r="AD99" s="96">
        <f t="shared" si="15"/>
        <v>0.37909674781616332</v>
      </c>
      <c r="AE99" s="95">
        <v>9600</v>
      </c>
      <c r="AF99">
        <f t="shared" si="10"/>
        <v>39.902324999700511</v>
      </c>
      <c r="AG99" s="96">
        <f t="shared" si="11"/>
        <v>0.3196143706855139</v>
      </c>
      <c r="AH99">
        <v>9600</v>
      </c>
      <c r="AI99">
        <f t="shared" si="12"/>
        <v>89.062729280700736</v>
      </c>
      <c r="AJ99" s="37">
        <f t="shared" si="13"/>
        <v>0.25505464870867911</v>
      </c>
    </row>
    <row r="100" spans="1:38" x14ac:dyDescent="0.25">
      <c r="E100" t="s">
        <v>315</v>
      </c>
      <c r="H100" t="s">
        <v>315</v>
      </c>
      <c r="K100" t="s">
        <v>315</v>
      </c>
      <c r="Y100" s="36">
        <v>9700</v>
      </c>
      <c r="Z100">
        <f t="shared" si="9"/>
        <v>99.657879045245409</v>
      </c>
      <c r="AA100">
        <f t="shared" si="14"/>
        <v>2.0623267211803409E-2</v>
      </c>
      <c r="AB100" s="95">
        <v>9700</v>
      </c>
      <c r="AC100">
        <f t="shared" si="8"/>
        <v>57.028179459523308</v>
      </c>
      <c r="AD100" s="96">
        <f t="shared" si="15"/>
        <v>0.3758101002029548</v>
      </c>
      <c r="AE100" s="95">
        <v>9700</v>
      </c>
      <c r="AF100">
        <f t="shared" si="10"/>
        <v>40.220248573810871</v>
      </c>
      <c r="AG100" s="96">
        <f t="shared" si="11"/>
        <v>0.31792357411035965</v>
      </c>
      <c r="AH100">
        <v>9700</v>
      </c>
      <c r="AI100">
        <f t="shared" si="12"/>
        <v>89.311971654329042</v>
      </c>
      <c r="AJ100" s="37">
        <f t="shared" si="13"/>
        <v>0.24924237362830581</v>
      </c>
    </row>
    <row r="101" spans="1:38" x14ac:dyDescent="0.25">
      <c r="A101" t="s">
        <v>190</v>
      </c>
      <c r="C101" s="1">
        <v>6</v>
      </c>
      <c r="E101" t="s">
        <v>316</v>
      </c>
      <c r="H101" t="s">
        <v>316</v>
      </c>
      <c r="K101" t="s">
        <v>316</v>
      </c>
      <c r="Y101" s="36">
        <v>9800</v>
      </c>
      <c r="Z101">
        <f t="shared" si="9"/>
        <v>99.677329808183572</v>
      </c>
      <c r="AA101">
        <f t="shared" si="14"/>
        <v>1.945076293816328E-2</v>
      </c>
      <c r="AB101" s="95">
        <v>9800</v>
      </c>
      <c r="AC101">
        <f t="shared" si="8"/>
        <v>57.400731406297176</v>
      </c>
      <c r="AD101" s="96">
        <f t="shared" si="15"/>
        <v>0.37255194677386783</v>
      </c>
      <c r="AE101" s="95">
        <v>9800</v>
      </c>
      <c r="AF101">
        <f t="shared" si="10"/>
        <v>40.536490295853319</v>
      </c>
      <c r="AG101" s="96">
        <f t="shared" si="11"/>
        <v>0.31624172204244871</v>
      </c>
      <c r="AH101">
        <v>9800</v>
      </c>
      <c r="AI101">
        <f t="shared" si="12"/>
        <v>89.555534205046655</v>
      </c>
      <c r="AJ101" s="37">
        <f t="shared" si="13"/>
        <v>0.24356255071761268</v>
      </c>
    </row>
    <row r="102" spans="1:38" x14ac:dyDescent="0.25">
      <c r="A102" t="s">
        <v>176</v>
      </c>
      <c r="B102" s="1">
        <f>'Offensive Stats'!B22+'Offensive Stats'!B27+'Offensive Stats'!B26</f>
        <v>1</v>
      </c>
      <c r="E102" t="s">
        <v>317</v>
      </c>
      <c r="H102" t="s">
        <v>320</v>
      </c>
      <c r="K102" t="s">
        <v>320</v>
      </c>
      <c r="Y102" s="36">
        <v>9900</v>
      </c>
      <c r="Z102">
        <f t="shared" si="9"/>
        <v>99.695674727782958</v>
      </c>
      <c r="AA102">
        <f t="shared" si="14"/>
        <v>1.8344919599385889E-2</v>
      </c>
      <c r="AB102" s="95">
        <v>9900</v>
      </c>
      <c r="AC102">
        <f t="shared" si="8"/>
        <v>57.770053446790627</v>
      </c>
      <c r="AD102" s="96">
        <f t="shared" si="15"/>
        <v>0.36932204049345074</v>
      </c>
      <c r="AE102" s="95">
        <v>9900</v>
      </c>
      <c r="AF102">
        <f t="shared" si="10"/>
        <v>40.851059063017679</v>
      </c>
      <c r="AG102" s="96">
        <f t="shared" si="11"/>
        <v>0.31456876716436</v>
      </c>
      <c r="AH102">
        <v>9900</v>
      </c>
      <c r="AI102">
        <f t="shared" si="12"/>
        <v>89.793546366656614</v>
      </c>
      <c r="AJ102" s="37">
        <f t="shared" si="13"/>
        <v>0.23801216160995864</v>
      </c>
    </row>
    <row r="103" spans="1:38" x14ac:dyDescent="0.25">
      <c r="Y103" s="36">
        <v>10000</v>
      </c>
      <c r="Z103">
        <f t="shared" si="9"/>
        <v>99.712976675073008</v>
      </c>
      <c r="AA103">
        <f t="shared" si="14"/>
        <v>1.7301947290050634E-2</v>
      </c>
      <c r="AB103" s="95">
        <v>10000</v>
      </c>
      <c r="AC103">
        <f t="shared" si="8"/>
        <v>58.136173583258554</v>
      </c>
      <c r="AD103" s="96">
        <f t="shared" si="15"/>
        <v>0.36612013646792718</v>
      </c>
      <c r="AE103" s="95">
        <v>10000</v>
      </c>
      <c r="AF103">
        <f t="shared" si="10"/>
        <v>41.163963725426569</v>
      </c>
      <c r="AG103" s="96">
        <f t="shared" si="11"/>
        <v>0.31290466240889003</v>
      </c>
      <c r="AH103">
        <v>10000</v>
      </c>
      <c r="AI103">
        <f t="shared" si="12"/>
        <v>90.026134623378908</v>
      </c>
      <c r="AJ103" s="37">
        <f t="shared" si="13"/>
        <v>0.23258825672229477</v>
      </c>
      <c r="AK103" t="s">
        <v>443</v>
      </c>
    </row>
    <row r="104" spans="1:38" x14ac:dyDescent="0.25">
      <c r="A104" t="s">
        <v>191</v>
      </c>
      <c r="C104" s="1">
        <v>2.5</v>
      </c>
      <c r="Y104" s="36">
        <v>10100</v>
      </c>
      <c r="Z104">
        <f t="shared" si="9"/>
        <v>99.72929494664713</v>
      </c>
      <c r="AA104">
        <f t="shared" si="14"/>
        <v>1.6318271574121468E-2</v>
      </c>
      <c r="AB104" s="95">
        <v>10100</v>
      </c>
      <c r="AC104">
        <f t="shared" si="8"/>
        <v>58.49911957518529</v>
      </c>
      <c r="AD104" s="96">
        <f t="shared" si="15"/>
        <v>0.36294599192673616</v>
      </c>
      <c r="AE104" s="95">
        <v>10100</v>
      </c>
      <c r="AF104">
        <f t="shared" si="10"/>
        <v>41.475213086384464</v>
      </c>
      <c r="AG104" s="96">
        <f t="shared" si="11"/>
        <v>0.31124936095789479</v>
      </c>
      <c r="AH104">
        <v>10100</v>
      </c>
      <c r="AI104">
        <f t="shared" si="12"/>
        <v>90.25342257706663</v>
      </c>
      <c r="AJ104" s="37">
        <f t="shared" si="13"/>
        <v>0.22728795368772126</v>
      </c>
      <c r="AK104">
        <v>1</v>
      </c>
      <c r="AL104">
        <f>IFERROR(_xlfn.BINOM.DIST(AK104,Odds!$L$32,Odds!$L$33,FALSE),0)</f>
        <v>0.27067056466839406</v>
      </c>
    </row>
    <row r="105" spans="1:38" x14ac:dyDescent="0.25">
      <c r="A105" t="s">
        <v>168</v>
      </c>
      <c r="B105" s="1">
        <f>'Offensive Stats'!B22+'Offensive Stats'!B26</f>
        <v>1</v>
      </c>
      <c r="Y105" s="36">
        <v>10200</v>
      </c>
      <c r="Z105">
        <f t="shared" si="9"/>
        <v>99.744685467881666</v>
      </c>
      <c r="AA105">
        <f t="shared" si="14"/>
        <v>1.5390521234536436E-2</v>
      </c>
      <c r="AB105" s="95">
        <v>10200</v>
      </c>
      <c r="AC105">
        <f t="shared" si="8"/>
        <v>58.858918941389263</v>
      </c>
      <c r="AD105" s="96">
        <f t="shared" si="15"/>
        <v>0.35979936620397268</v>
      </c>
      <c r="AE105" s="95">
        <v>10200</v>
      </c>
      <c r="AF105">
        <f t="shared" si="10"/>
        <v>41.784815902625382</v>
      </c>
      <c r="AG105" s="96">
        <f t="shared" si="11"/>
        <v>0.30960281624091834</v>
      </c>
      <c r="AH105">
        <v>10200</v>
      </c>
      <c r="AI105">
        <f t="shared" si="12"/>
        <v>90.475531012890329</v>
      </c>
      <c r="AJ105" s="37">
        <f t="shared" si="13"/>
        <v>0.22210843582369932</v>
      </c>
      <c r="AK105">
        <v>2</v>
      </c>
      <c r="AL105">
        <f>IFERROR(_xlfn.BINOM.DIST(AK105,Odds!$L$32,Odds!$L$33,FALSE),0)</f>
        <v>0.27069763713935507</v>
      </c>
    </row>
    <row r="106" spans="1:38" x14ac:dyDescent="0.25">
      <c r="A106" t="s">
        <v>169</v>
      </c>
      <c r="B106" s="1">
        <f>'Offensive Stats'!B22+'Offensive Stats'!B28+'Offensive Stats'!B32</f>
        <v>1</v>
      </c>
      <c r="E106" s="35" t="s">
        <v>294</v>
      </c>
      <c r="H106" s="35" t="s">
        <v>289</v>
      </c>
      <c r="K106" s="35" t="s">
        <v>322</v>
      </c>
      <c r="P106" s="94"/>
      <c r="Y106" s="36">
        <v>10300</v>
      </c>
      <c r="Z106">
        <f t="shared" si="9"/>
        <v>99.759200984601364</v>
      </c>
      <c r="AA106">
        <f t="shared" si="14"/>
        <v>1.451551671969753E-2</v>
      </c>
      <c r="AB106" s="95">
        <v>10300</v>
      </c>
      <c r="AC106">
        <f t="shared" si="8"/>
        <v>59.215598962109596</v>
      </c>
      <c r="AD106" s="96">
        <f t="shared" si="15"/>
        <v>0.35668002072033289</v>
      </c>
      <c r="AE106" s="95">
        <v>10300</v>
      </c>
      <c r="AF106">
        <f t="shared" si="10"/>
        <v>42.092780884559154</v>
      </c>
      <c r="AG106" s="96">
        <f t="shared" si="11"/>
        <v>0.30796498193377175</v>
      </c>
      <c r="AH106">
        <v>10300</v>
      </c>
      <c r="AI106">
        <f t="shared" si="12"/>
        <v>90.692577963525594</v>
      </c>
      <c r="AJ106" s="37">
        <f t="shared" si="13"/>
        <v>0.21704695063526458</v>
      </c>
      <c r="AK106">
        <v>3</v>
      </c>
      <c r="AL106">
        <f>IFERROR(_xlfn.BINOM.DIST(AK106,Odds!$L$32,Odds!$L$33,FALSE),0)</f>
        <v>0.18046509142623673</v>
      </c>
    </row>
    <row r="107" spans="1:38" x14ac:dyDescent="0.25">
      <c r="A107" s="25"/>
      <c r="E107" t="s">
        <v>295</v>
      </c>
      <c r="H107" t="s">
        <v>272</v>
      </c>
      <c r="K107" t="s">
        <v>284</v>
      </c>
      <c r="Y107" s="36">
        <v>10400</v>
      </c>
      <c r="Z107">
        <f t="shared" si="9"/>
        <v>99.772891243847923</v>
      </c>
      <c r="AA107">
        <f t="shared" si="14"/>
        <v>1.3690259246558867E-2</v>
      </c>
      <c r="AB107" s="95">
        <v>10400</v>
      </c>
      <c r="AC107">
        <f t="shared" si="8"/>
        <v>59.569186681074406</v>
      </c>
      <c r="AD107" s="96">
        <f t="shared" si="15"/>
        <v>0.35358771896481045</v>
      </c>
      <c r="AE107" s="95">
        <v>10400</v>
      </c>
      <c r="AF107">
        <f t="shared" si="10"/>
        <v>42.399116696516636</v>
      </c>
      <c r="AG107" s="96">
        <f t="shared" si="11"/>
        <v>0.3063358119574815</v>
      </c>
      <c r="AH107">
        <v>10400</v>
      </c>
      <c r="AI107">
        <f t="shared" si="12"/>
        <v>90.904678771877883</v>
      </c>
      <c r="AJ107" s="37">
        <f t="shared" si="13"/>
        <v>0.2121008083522895</v>
      </c>
      <c r="AK107">
        <v>4</v>
      </c>
      <c r="AL107">
        <f>IFERROR(_xlfn.BINOM.DIST(AK107,Odds!$L$32,Odds!$L$33,FALSE),0)</f>
        <v>9.022352065353513E-2</v>
      </c>
    </row>
    <row r="108" spans="1:38" x14ac:dyDescent="0.25">
      <c r="A108" t="s">
        <v>192</v>
      </c>
      <c r="C108" s="1">
        <v>0.9</v>
      </c>
      <c r="E108" t="s">
        <v>273</v>
      </c>
      <c r="H108" t="s">
        <v>273</v>
      </c>
      <c r="K108" t="s">
        <v>273</v>
      </c>
      <c r="P108" s="94"/>
      <c r="Y108" s="36">
        <v>10500</v>
      </c>
      <c r="Z108">
        <f t="shared" si="9"/>
        <v>99.78580316437106</v>
      </c>
      <c r="AA108">
        <f t="shared" si="14"/>
        <v>1.291192052313761E-2</v>
      </c>
      <c r="AB108" s="95">
        <v>10500</v>
      </c>
      <c r="AC108">
        <f t="shared" si="8"/>
        <v>59.919708907551382</v>
      </c>
      <c r="AD108" s="96">
        <f t="shared" si="15"/>
        <v>0.35052222647697562</v>
      </c>
      <c r="AE108" s="95">
        <v>10500</v>
      </c>
      <c r="AF108">
        <f t="shared" si="10"/>
        <v>42.703831956993277</v>
      </c>
      <c r="AG108" s="96">
        <f t="shared" si="11"/>
        <v>0.30471526047664099</v>
      </c>
      <c r="AH108">
        <v>10500</v>
      </c>
      <c r="AI108">
        <f t="shared" si="12"/>
        <v>91.111946152377939</v>
      </c>
      <c r="AJ108" s="37">
        <f t="shared" si="13"/>
        <v>0.20726738050005622</v>
      </c>
      <c r="AK108">
        <v>5</v>
      </c>
      <c r="AL108">
        <f>IFERROR(_xlfn.BINOM.DIST(AK108,Odds!$L$32,Odds!$L$33,FALSE),0)</f>
        <v>3.6082188935896667E-2</v>
      </c>
    </row>
    <row r="109" spans="1:38" x14ac:dyDescent="0.25">
      <c r="A109" t="s">
        <v>181</v>
      </c>
      <c r="B109" s="1">
        <f>'Offensive Stats'!B22+'Offensive Stats'!B25+'Offensive Stats'!B28+'Offensive Stats'!B32</f>
        <v>1</v>
      </c>
      <c r="C109" s="1">
        <v>0.9</v>
      </c>
      <c r="E109" t="s">
        <v>274</v>
      </c>
      <c r="H109" t="s">
        <v>274</v>
      </c>
      <c r="K109" t="s">
        <v>274</v>
      </c>
      <c r="P109" s="94"/>
      <c r="Y109" s="36">
        <v>10600</v>
      </c>
      <c r="Z109">
        <f t="shared" si="9"/>
        <v>99.797980997426961</v>
      </c>
      <c r="AA109">
        <f t="shared" si="14"/>
        <v>1.2177833055901033E-2</v>
      </c>
      <c r="AB109" s="95">
        <v>10600</v>
      </c>
      <c r="AC109">
        <f t="shared" si="8"/>
        <v>60.267192218380394</v>
      </c>
      <c r="AD109" s="96">
        <f t="shared" si="15"/>
        <v>0.34748331082901274</v>
      </c>
      <c r="AE109" s="95">
        <v>10600</v>
      </c>
      <c r="AF109">
        <f t="shared" si="10"/>
        <v>43.006935238891778</v>
      </c>
      <c r="AG109" s="96">
        <f t="shared" si="11"/>
        <v>0.30310328189850111</v>
      </c>
      <c r="AH109">
        <v>10600</v>
      </c>
      <c r="AI109">
        <f t="shared" si="12"/>
        <v>91.314490250880368</v>
      </c>
      <c r="AJ109" s="37">
        <f t="shared" si="13"/>
        <v>0.20254409850242894</v>
      </c>
      <c r="AK109">
        <v>6</v>
      </c>
      <c r="AL109">
        <f>IFERROR(_xlfn.BINOM.DIST(AK109,Odds!$L$32,Odds!$L$33,FALSE),0)</f>
        <v>1.2023787371283838E-2</v>
      </c>
    </row>
    <row r="110" spans="1:38" x14ac:dyDescent="0.25">
      <c r="E110" t="s">
        <v>296</v>
      </c>
      <c r="H110" t="s">
        <v>275</v>
      </c>
      <c r="K110" t="s">
        <v>323</v>
      </c>
      <c r="P110" s="94"/>
      <c r="Y110" s="36">
        <v>10700</v>
      </c>
      <c r="Z110">
        <f t="shared" si="9"/>
        <v>99.809466478434317</v>
      </c>
      <c r="AA110">
        <f t="shared" si="14"/>
        <v>1.1485481007355247E-2</v>
      </c>
      <c r="AB110" s="95">
        <v>10700</v>
      </c>
      <c r="AC110">
        <f t="shared" si="8"/>
        <v>60.611662959988635</v>
      </c>
      <c r="AD110" s="96">
        <f t="shared" si="15"/>
        <v>0.34447074160824087</v>
      </c>
      <c r="AE110" s="95">
        <v>10700</v>
      </c>
      <c r="AF110">
        <f t="shared" si="10"/>
        <v>43.308435069763171</v>
      </c>
      <c r="AG110" s="96">
        <f t="shared" si="11"/>
        <v>0.30149983087139276</v>
      </c>
      <c r="AH110">
        <v>10700</v>
      </c>
      <c r="AI110">
        <f t="shared" si="12"/>
        <v>91.512418703197312</v>
      </c>
      <c r="AJ110" s="37">
        <f t="shared" si="13"/>
        <v>0.197928452316944</v>
      </c>
      <c r="AK110">
        <v>7</v>
      </c>
      <c r="AL110">
        <f>IFERROR(_xlfn.BINOM.DIST(AK110,Odds!$L$32,Odds!$L$33,FALSE),0)</f>
        <v>3.4339933983542599E-3</v>
      </c>
    </row>
    <row r="111" spans="1:38" x14ac:dyDescent="0.25">
      <c r="A111" t="s">
        <v>193</v>
      </c>
      <c r="C111" s="1">
        <v>1</v>
      </c>
      <c r="E111" t="s">
        <v>290</v>
      </c>
      <c r="H111" t="s">
        <v>290</v>
      </c>
      <c r="K111" t="s">
        <v>298</v>
      </c>
      <c r="P111" s="94"/>
      <c r="Y111" s="36">
        <v>10800</v>
      </c>
      <c r="Z111">
        <f t="shared" si="9"/>
        <v>99.820298970008565</v>
      </c>
      <c r="AA111">
        <f t="shared" si="14"/>
        <v>1.0832491574248593E-2</v>
      </c>
      <c r="AB111" s="95">
        <v>10800</v>
      </c>
      <c r="AC111">
        <f t="shared" si="8"/>
        <v>60.953147250388199</v>
      </c>
      <c r="AD111" s="96">
        <f t="shared" si="15"/>
        <v>0.34148429039956341</v>
      </c>
      <c r="AE111" s="95">
        <v>10800</v>
      </c>
      <c r="AF111">
        <f t="shared" si="10"/>
        <v>43.608339932046789</v>
      </c>
      <c r="AG111" s="96">
        <f t="shared" si="11"/>
        <v>0.29990486228361846</v>
      </c>
      <c r="AH111">
        <v>10800</v>
      </c>
      <c r="AI111">
        <f t="shared" si="12"/>
        <v>91.705836692298149</v>
      </c>
      <c r="AJ111" s="37">
        <f t="shared" si="13"/>
        <v>0.19341798910083696</v>
      </c>
      <c r="AK111">
        <v>8</v>
      </c>
      <c r="AL111">
        <f>IFERROR(_xlfn.BINOM.DIST(AK111,Odds!$L$32,Odds!$L$33,FALSE),0)</f>
        <v>8.5806901454676271E-4</v>
      </c>
    </row>
    <row r="112" spans="1:38" x14ac:dyDescent="0.25">
      <c r="A112" t="s">
        <v>182</v>
      </c>
      <c r="B112" s="1">
        <f>'Offensive Stats'!B22+'Offensive Stats'!B25+'Offensive Stats'!B31+'Offensive Stats'!B32</f>
        <v>1</v>
      </c>
      <c r="C112" s="1">
        <v>1</v>
      </c>
      <c r="K112" t="s">
        <v>290</v>
      </c>
      <c r="P112" s="94"/>
      <c r="Y112" s="36">
        <v>10900</v>
      </c>
      <c r="Z112">
        <f t="shared" si="9"/>
        <v>99.830515596863862</v>
      </c>
      <c r="AA112">
        <f t="shared" si="14"/>
        <v>1.021662685529634E-2</v>
      </c>
      <c r="AB112" s="95">
        <v>10900</v>
      </c>
      <c r="AC112">
        <f t="shared" si="8"/>
        <v>61.291670981156322</v>
      </c>
      <c r="AD112" s="96">
        <f t="shared" si="15"/>
        <v>0.3385237307681237</v>
      </c>
      <c r="AE112" s="95">
        <v>10900</v>
      </c>
      <c r="AF112">
        <f t="shared" si="10"/>
        <v>43.90665826330887</v>
      </c>
      <c r="AG112" s="96">
        <f t="shared" si="11"/>
        <v>0.29831833126208096</v>
      </c>
      <c r="AH112">
        <v>10900</v>
      </c>
      <c r="AI112">
        <f t="shared" si="12"/>
        <v>91.894847004205715</v>
      </c>
      <c r="AJ112" s="37">
        <f t="shared" si="13"/>
        <v>0.18901031190756612</v>
      </c>
      <c r="AK112">
        <v>9</v>
      </c>
      <c r="AL112">
        <f>IFERROR(_xlfn.BINOM.DIST(AK112,Odds!$L$32,Odds!$L$33,FALSE),0)</f>
        <v>1.905675711442562E-4</v>
      </c>
    </row>
    <row r="113" spans="1:38" x14ac:dyDescent="0.25">
      <c r="E113" t="s">
        <v>285</v>
      </c>
      <c r="H113" t="s">
        <v>285</v>
      </c>
      <c r="K113" t="s">
        <v>285</v>
      </c>
      <c r="P113" s="94"/>
      <c r="Y113" s="36">
        <v>11000</v>
      </c>
      <c r="Z113">
        <f t="shared" si="9"/>
        <v>99.840151373045657</v>
      </c>
      <c r="AA113">
        <f t="shared" si="14"/>
        <v>9.6357761817955634E-3</v>
      </c>
      <c r="AB113" s="95">
        <v>11000</v>
      </c>
      <c r="AC113">
        <f t="shared" si="8"/>
        <v>61.627259819398603</v>
      </c>
      <c r="AD113" s="96">
        <f t="shared" si="15"/>
        <v>0.33558883824228047</v>
      </c>
      <c r="AE113" s="95">
        <v>11000</v>
      </c>
      <c r="AF113">
        <f t="shared" si="10"/>
        <v>44.20339845647996</v>
      </c>
      <c r="AG113" s="96">
        <f t="shared" si="11"/>
        <v>0.29674019317108957</v>
      </c>
      <c r="AH113">
        <v>11000</v>
      </c>
      <c r="AI113">
        <f t="shared" si="12"/>
        <v>92.079550082618837</v>
      </c>
      <c r="AJ113" s="37">
        <f t="shared" si="13"/>
        <v>0.18470307841312206</v>
      </c>
      <c r="AK113">
        <v>10</v>
      </c>
      <c r="AL113">
        <f>IFERROR(_xlfn.BINOM.DIST(AK113,Odds!$L$32,Odds!$L$33,FALSE),0)</f>
        <v>3.8086829431931714E-5</v>
      </c>
    </row>
    <row r="114" spans="1:38" x14ac:dyDescent="0.25">
      <c r="A114" t="s">
        <v>194</v>
      </c>
      <c r="C114" s="1">
        <v>0.8</v>
      </c>
      <c r="E114" t="s">
        <v>276</v>
      </c>
      <c r="H114" t="s">
        <v>276</v>
      </c>
      <c r="K114" t="s">
        <v>276</v>
      </c>
      <c r="P114" s="94"/>
      <c r="Y114" s="36">
        <v>11100</v>
      </c>
      <c r="Z114">
        <f t="shared" si="9"/>
        <v>99.849239321929446</v>
      </c>
      <c r="AA114">
        <f t="shared" si="14"/>
        <v>9.0879488837884992E-3</v>
      </c>
      <c r="AB114" s="95">
        <v>11100</v>
      </c>
      <c r="AC114">
        <f t="shared" si="8"/>
        <v>61.959939209694973</v>
      </c>
      <c r="AD114" s="96">
        <f t="shared" si="15"/>
        <v>0.33267939029637006</v>
      </c>
      <c r="AE114" s="95">
        <v>11100</v>
      </c>
      <c r="AF114">
        <f t="shared" si="10"/>
        <v>44.498568860091062</v>
      </c>
      <c r="AG114" s="96">
        <f t="shared" si="11"/>
        <v>0.29517040361110247</v>
      </c>
      <c r="AH114">
        <v>11100</v>
      </c>
      <c r="AI114">
        <f t="shared" si="12"/>
        <v>92.260044082289966</v>
      </c>
      <c r="AJ114" s="37">
        <f t="shared" si="13"/>
        <v>0.18049399967112834</v>
      </c>
      <c r="AK114">
        <v>11</v>
      </c>
      <c r="AL114">
        <f>IFERROR(_xlfn.BINOM.DIST(AK114,Odds!$L$32,Odds!$L$33,FALSE),0)</f>
        <v>6.9193370678680782E-6</v>
      </c>
    </row>
    <row r="115" spans="1:38" x14ac:dyDescent="0.25">
      <c r="A115" t="s">
        <v>183</v>
      </c>
      <c r="B115" s="1">
        <f>'Offensive Stats'!B22+'Offensive Stats'!B25+'Offensive Stats'!B29+'Offensive Stats'!B32</f>
        <v>1</v>
      </c>
      <c r="C115" s="1">
        <v>0.8</v>
      </c>
      <c r="P115" s="94"/>
      <c r="Y115" s="36">
        <v>11200</v>
      </c>
      <c r="Z115">
        <f t="shared" si="9"/>
        <v>99.857810589397261</v>
      </c>
      <c r="AA115">
        <f t="shared" si="14"/>
        <v>8.5712674678148915E-3</v>
      </c>
      <c r="AB115" s="95">
        <v>11200</v>
      </c>
      <c r="AC115">
        <f t="shared" si="8"/>
        <v>62.289734376029045</v>
      </c>
      <c r="AD115" s="96">
        <f t="shared" si="15"/>
        <v>0.32979516633407258</v>
      </c>
      <c r="AE115" s="95">
        <v>11200</v>
      </c>
      <c r="AF115">
        <f t="shared" si="10"/>
        <v>44.792177778508481</v>
      </c>
      <c r="AG115" s="96">
        <f t="shared" si="11"/>
        <v>0.29360891841741932</v>
      </c>
      <c r="AH115">
        <v>11200</v>
      </c>
      <c r="AI115">
        <f t="shared" si="12"/>
        <v>92.4364249211865</v>
      </c>
      <c r="AJ115" s="37">
        <f t="shared" si="13"/>
        <v>0.17638083889653444</v>
      </c>
      <c r="AK115">
        <v>12</v>
      </c>
      <c r="AL115">
        <f>IFERROR(_xlfn.BINOM.DIST(AK115,Odds!$L$32,Odds!$L$33,FALSE),0)</f>
        <v>1.1521847364628631E-6</v>
      </c>
    </row>
    <row r="116" spans="1:38" x14ac:dyDescent="0.25">
      <c r="E116" t="s">
        <v>277</v>
      </c>
      <c r="H116" t="s">
        <v>277</v>
      </c>
      <c r="K116" t="s">
        <v>277</v>
      </c>
      <c r="P116" s="94"/>
      <c r="Y116" s="36">
        <v>11300</v>
      </c>
      <c r="Z116">
        <f t="shared" si="9"/>
        <v>99.865894550579753</v>
      </c>
      <c r="AA116">
        <f t="shared" si="14"/>
        <v>8.0839611824927715E-3</v>
      </c>
      <c r="AB116" s="95">
        <v>11300</v>
      </c>
      <c r="AC116">
        <f t="shared" si="8"/>
        <v>62.616670323700554</v>
      </c>
      <c r="AD116" s="96">
        <f t="shared" si="15"/>
        <v>0.32693594767150813</v>
      </c>
      <c r="AE116" s="95">
        <v>11300</v>
      </c>
      <c r="AF116">
        <f t="shared" si="10"/>
        <v>45.08423347216749</v>
      </c>
      <c r="AG116" s="96">
        <f t="shared" si="11"/>
        <v>0.29205569365900885</v>
      </c>
      <c r="AH116">
        <v>11300</v>
      </c>
      <c r="AI116">
        <f t="shared" si="12"/>
        <v>92.608786331463449</v>
      </c>
      <c r="AJ116" s="37">
        <f t="shared" si="13"/>
        <v>0.17236141027694885</v>
      </c>
      <c r="AK116">
        <v>13</v>
      </c>
      <c r="AL116">
        <f>IFERROR(_xlfn.BINOM.DIST(AK116,Odds!$L$32,Odds!$L$33,FALSE),0)</f>
        <v>1.7708189557590142E-7</v>
      </c>
    </row>
    <row r="117" spans="1:38" x14ac:dyDescent="0.25">
      <c r="A117" t="s">
        <v>195</v>
      </c>
      <c r="C117" s="1">
        <v>1</v>
      </c>
      <c r="E117" t="s">
        <v>313</v>
      </c>
      <c r="H117" t="s">
        <v>292</v>
      </c>
      <c r="K117" t="s">
        <v>292</v>
      </c>
      <c r="P117" s="94"/>
      <c r="Y117" s="36">
        <v>11400</v>
      </c>
      <c r="Z117">
        <f t="shared" si="9"/>
        <v>99.873518910529469</v>
      </c>
      <c r="AA117">
        <f t="shared" si="14"/>
        <v>7.6243599497161085E-3</v>
      </c>
      <c r="AB117" s="95">
        <v>11400</v>
      </c>
      <c r="AC117">
        <f t="shared" si="8"/>
        <v>62.94077184122122</v>
      </c>
      <c r="AD117" s="96">
        <f t="shared" si="15"/>
        <v>0.32410151752066696</v>
      </c>
      <c r="AE117" s="95">
        <v>11400</v>
      </c>
      <c r="AF117">
        <f t="shared" si="10"/>
        <v>45.374744157804678</v>
      </c>
      <c r="AG117" s="96">
        <f t="shared" si="11"/>
        <v>0.29051068563718729</v>
      </c>
      <c r="AH117">
        <v>11400</v>
      </c>
      <c r="AI117">
        <f t="shared" si="12"/>
        <v>92.77721990927455</v>
      </c>
      <c r="AJ117" s="37">
        <f t="shared" si="13"/>
        <v>0.16843357781110058</v>
      </c>
      <c r="AK117">
        <v>14</v>
      </c>
      <c r="AL117">
        <f>IFERROR(_xlfn.BINOM.DIST(AK117,Odds!$L$32,Odds!$L$33,FALSE),0)</f>
        <v>2.5269580932136891E-8</v>
      </c>
    </row>
    <row r="118" spans="1:38" x14ac:dyDescent="0.25">
      <c r="A118" t="s">
        <v>163</v>
      </c>
      <c r="B118" s="1">
        <f>'Offensive Stats'!B22+'Offensive Stats'!B23+'Offensive Stats'!B29+'Offensive Stats'!B32</f>
        <v>1</v>
      </c>
      <c r="C118" s="1">
        <v>1</v>
      </c>
      <c r="E118" t="s">
        <v>314</v>
      </c>
      <c r="H118" t="s">
        <v>291</v>
      </c>
      <c r="K118" t="s">
        <v>314</v>
      </c>
      <c r="P118" s="94"/>
      <c r="Y118" s="36">
        <v>11500</v>
      </c>
      <c r="Z118">
        <f t="shared" si="9"/>
        <v>99.880709799170646</v>
      </c>
      <c r="AA118">
        <f t="shared" si="14"/>
        <v>7.1908886411762296E-3</v>
      </c>
      <c r="AB118" s="95">
        <v>11500</v>
      </c>
      <c r="AC118">
        <f t="shared" si="8"/>
        <v>63.262063502194387</v>
      </c>
      <c r="AD118" s="96">
        <f t="shared" si="15"/>
        <v>0.32129166097316642</v>
      </c>
      <c r="AE118" s="95">
        <v>11500</v>
      </c>
      <c r="AF118">
        <f t="shared" si="10"/>
        <v>45.663718008689216</v>
      </c>
      <c r="AG118" s="96">
        <f t="shared" si="11"/>
        <v>0.28897385088453831</v>
      </c>
      <c r="AH118">
        <v>11500</v>
      </c>
      <c r="AI118">
        <f t="shared" si="12"/>
        <v>92.941815163448055</v>
      </c>
      <c r="AJ118" s="37">
        <f t="shared" si="13"/>
        <v>0.16459525417350562</v>
      </c>
      <c r="AK118">
        <v>15</v>
      </c>
      <c r="AL118">
        <f>IFERROR(_xlfn.BINOM.DIST(AK118,Odds!$L$32,Odds!$L$33,FALSE),0)</f>
        <v>3.3652335158807542E-9</v>
      </c>
    </row>
    <row r="119" spans="1:38" x14ac:dyDescent="0.25">
      <c r="E119" t="s">
        <v>293</v>
      </c>
      <c r="H119" t="s">
        <v>293</v>
      </c>
      <c r="K119" t="s">
        <v>293</v>
      </c>
      <c r="P119" s="94"/>
      <c r="Y119" s="36">
        <v>11600</v>
      </c>
      <c r="Z119">
        <f t="shared" si="9"/>
        <v>99.887491860850687</v>
      </c>
      <c r="AA119">
        <f t="shared" si="14"/>
        <v>6.7820616800418065E-3</v>
      </c>
      <c r="AB119" s="95">
        <v>11600</v>
      </c>
      <c r="AC119">
        <f t="shared" si="8"/>
        <v>63.580569667178025</v>
      </c>
      <c r="AD119" s="96">
        <f t="shared" si="15"/>
        <v>0.31850616498363848</v>
      </c>
      <c r="AE119" s="95">
        <v>11600</v>
      </c>
      <c r="AF119">
        <f t="shared" si="10"/>
        <v>45.951163154852679</v>
      </c>
      <c r="AG119" s="96">
        <f t="shared" si="11"/>
        <v>0.28744514616346351</v>
      </c>
      <c r="AH119">
        <v>11600</v>
      </c>
      <c r="AI119">
        <f t="shared" si="12"/>
        <v>93.102659563053649</v>
      </c>
      <c r="AJ119" s="37">
        <f t="shared" si="13"/>
        <v>0.16084439960559394</v>
      </c>
      <c r="AK119">
        <v>16</v>
      </c>
      <c r="AL119">
        <f>IFERROR(_xlfn.BINOM.DIST(AK119,Odds!$L$32,Odds!$L$33,FALSE),0)</f>
        <v>4.201072296467969E-10</v>
      </c>
    </row>
    <row r="120" spans="1:38" x14ac:dyDescent="0.25">
      <c r="A120" t="s">
        <v>196</v>
      </c>
      <c r="C120" s="1">
        <v>0.8</v>
      </c>
      <c r="E120" t="s">
        <v>279</v>
      </c>
      <c r="H120" t="s">
        <v>279</v>
      </c>
      <c r="K120" t="s">
        <v>279</v>
      </c>
      <c r="P120" s="94"/>
      <c r="Y120" s="36">
        <v>11700</v>
      </c>
      <c r="Z120">
        <f t="shared" si="9"/>
        <v>99.893888338800352</v>
      </c>
      <c r="AA120">
        <f t="shared" si="14"/>
        <v>6.3964779496643587E-3</v>
      </c>
      <c r="AB120" s="95">
        <v>11700</v>
      </c>
      <c r="AC120">
        <f t="shared" si="8"/>
        <v>63.896314485531903</v>
      </c>
      <c r="AD120" s="96">
        <f t="shared" si="15"/>
        <v>0.31574481835387758</v>
      </c>
      <c r="AE120" s="95">
        <v>11700</v>
      </c>
      <c r="AF120">
        <f t="shared" si="10"/>
        <v>46.237087683317903</v>
      </c>
      <c r="AG120" s="96">
        <f t="shared" si="11"/>
        <v>0.2859245284652232</v>
      </c>
      <c r="AH120">
        <v>11700</v>
      </c>
      <c r="AI120">
        <f t="shared" si="12"/>
        <v>93.259838583885013</v>
      </c>
      <c r="AJ120" s="37">
        <f t="shared" si="13"/>
        <v>0.15717902083136437</v>
      </c>
      <c r="AK120">
        <v>17</v>
      </c>
      <c r="AL120">
        <f>IFERROR(_xlfn.BINOM.DIST(AK120,Odds!$L$32,Odds!$L$33,FALSE),0)</f>
        <v>4.935517198490996E-11</v>
      </c>
    </row>
    <row r="121" spans="1:38" x14ac:dyDescent="0.25">
      <c r="A121" t="s">
        <v>184</v>
      </c>
      <c r="B121" s="1">
        <f>'Offensive Stats'!B22+'Offensive Stats'!B25+'Offensive Stats'!B30+'Offensive Stats'!B32</f>
        <v>1</v>
      </c>
      <c r="C121" s="1">
        <v>1</v>
      </c>
      <c r="E121" t="s">
        <v>282</v>
      </c>
      <c r="H121" t="s">
        <v>282</v>
      </c>
      <c r="K121" t="s">
        <v>282</v>
      </c>
      <c r="P121" s="94"/>
      <c r="S121" s="94"/>
      <c r="Y121" s="36">
        <v>11800</v>
      </c>
      <c r="Z121">
        <f t="shared" si="9"/>
        <v>99.899921154792139</v>
      </c>
      <c r="AA121">
        <f t="shared" si="14"/>
        <v>6.0328159917872881E-3</v>
      </c>
      <c r="AB121" s="95">
        <v>11800</v>
      </c>
      <c r="AC121">
        <f t="shared" si="8"/>
        <v>64.209321897248543</v>
      </c>
      <c r="AD121" s="96">
        <f t="shared" si="15"/>
        <v>0.31300741171664015</v>
      </c>
      <c r="AE121" s="95">
        <v>11800</v>
      </c>
      <c r="AF121">
        <f t="shared" si="10"/>
        <v>46.521499638326411</v>
      </c>
      <c r="AG121" s="96">
        <f t="shared" si="11"/>
        <v>0.28441195500850824</v>
      </c>
      <c r="AH121">
        <v>11800</v>
      </c>
      <c r="AI121">
        <f t="shared" si="12"/>
        <v>93.413435753883377</v>
      </c>
      <c r="AJ121" s="37">
        <f t="shared" si="13"/>
        <v>0.15359716999836337</v>
      </c>
      <c r="AK121">
        <v>18</v>
      </c>
      <c r="AL121">
        <f>IFERROR(_xlfn.BINOM.DIST(AK121,Odds!$L$32,Odds!$L$33,FALSE),0)</f>
        <v>5.4756804908243563E-12</v>
      </c>
    </row>
    <row r="122" spans="1:38" x14ac:dyDescent="0.25">
      <c r="P122" s="94"/>
      <c r="S122" s="94"/>
      <c r="Y122" s="36">
        <v>11900</v>
      </c>
      <c r="Z122">
        <f t="shared" si="9"/>
        <v>99.905610984269728</v>
      </c>
      <c r="AA122">
        <f t="shared" si="14"/>
        <v>5.6898294775891145E-3</v>
      </c>
      <c r="AB122" s="95">
        <v>11900</v>
      </c>
      <c r="AC122">
        <f t="shared" si="8"/>
        <v>64.5196156347684</v>
      </c>
      <c r="AD122" s="96">
        <f t="shared" si="15"/>
        <v>0.31029373751985645</v>
      </c>
      <c r="AE122" s="95">
        <v>11900</v>
      </c>
      <c r="AF122">
        <f t="shared" si="10"/>
        <v>46.804407021564799</v>
      </c>
      <c r="AG122" s="96">
        <f t="shared" si="11"/>
        <v>0.28290738323838838</v>
      </c>
      <c r="AH122">
        <v>11900</v>
      </c>
      <c r="AI122">
        <f t="shared" si="12"/>
        <v>93.563532697525872</v>
      </c>
      <c r="AJ122" s="37">
        <f t="shared" si="13"/>
        <v>0.15009694364249526</v>
      </c>
      <c r="AK122">
        <v>19</v>
      </c>
      <c r="AL122">
        <f>IFERROR(_xlfn.BINOM.DIST(AK122,Odds!$L$32,Odds!$L$33,FALSE),0)</f>
        <v>5.7546501573375923E-13</v>
      </c>
    </row>
    <row r="123" spans="1:38" x14ac:dyDescent="0.25">
      <c r="A123" t="s">
        <v>197</v>
      </c>
      <c r="C123" s="1">
        <v>1.2</v>
      </c>
      <c r="E123" t="s">
        <v>315</v>
      </c>
      <c r="H123" t="s">
        <v>315</v>
      </c>
      <c r="K123" t="s">
        <v>315</v>
      </c>
      <c r="P123" s="94"/>
      <c r="S123" s="94"/>
      <c r="Y123" s="36">
        <v>12000</v>
      </c>
      <c r="Z123">
        <f t="shared" si="9"/>
        <v>99.910977327206112</v>
      </c>
      <c r="AA123">
        <f t="shared" si="14"/>
        <v>5.3663429363837167E-3</v>
      </c>
      <c r="AB123" s="95">
        <v>12000</v>
      </c>
      <c r="AC123">
        <f t="shared" si="8"/>
        <v>64.827219224779256</v>
      </c>
      <c r="AD123" s="96">
        <f t="shared" si="15"/>
        <v>0.30760359001085646</v>
      </c>
      <c r="AE123" s="95">
        <v>12000</v>
      </c>
      <c r="AF123">
        <f t="shared" si="10"/>
        <v>47.085817792389783</v>
      </c>
      <c r="AG123" s="96">
        <f t="shared" si="11"/>
        <v>0.28141077082498356</v>
      </c>
      <c r="AH123">
        <v>12000</v>
      </c>
      <c r="AI123">
        <f t="shared" si="12"/>
        <v>93.710209179202323</v>
      </c>
      <c r="AJ123" s="37">
        <f t="shared" si="13"/>
        <v>0.14667648167645098</v>
      </c>
      <c r="AK123">
        <v>20</v>
      </c>
      <c r="AL123">
        <f>IFERROR(_xlfn.BINOM.DIST(AK123,Odds!$L$32,Odds!$L$33,FALSE),0)</f>
        <v>5.7448652950976643E-14</v>
      </c>
    </row>
    <row r="124" spans="1:38" x14ac:dyDescent="0.25">
      <c r="A124" t="s">
        <v>184</v>
      </c>
      <c r="B124" s="1">
        <f>'Offensive Stats'!B22+'Offensive Stats'!B25+'Offensive Stats'!B30+'Offensive Stats'!B32</f>
        <v>1</v>
      </c>
      <c r="C124" s="1">
        <v>1.2</v>
      </c>
      <c r="E124" t="s">
        <v>316</v>
      </c>
      <c r="H124" t="s">
        <v>316</v>
      </c>
      <c r="K124" t="s">
        <v>316</v>
      </c>
      <c r="P124" s="94"/>
      <c r="S124" s="94"/>
      <c r="Y124" s="36">
        <v>12100</v>
      </c>
      <c r="Z124">
        <f t="shared" si="9"/>
        <v>99.916038574933182</v>
      </c>
      <c r="AA124">
        <f t="shared" si="14"/>
        <v>5.0612477270703948E-3</v>
      </c>
      <c r="AB124" s="95">
        <v>12100</v>
      </c>
      <c r="AC124">
        <f t="shared" si="8"/>
        <v>65.132155989999987</v>
      </c>
      <c r="AD124" s="96">
        <f t="shared" si="15"/>
        <v>0.30493676522073088</v>
      </c>
      <c r="AE124" s="95">
        <v>12100</v>
      </c>
      <c r="AF124">
        <f t="shared" si="10"/>
        <v>47.365739868052216</v>
      </c>
      <c r="AG124" s="96">
        <f t="shared" si="11"/>
        <v>0.27992207566243366</v>
      </c>
      <c r="AH124">
        <v>12100</v>
      </c>
      <c r="AI124">
        <f t="shared" si="12"/>
        <v>93.853543145603552</v>
      </c>
      <c r="AJ124" s="37">
        <f t="shared" si="13"/>
        <v>0.14333396640122942</v>
      </c>
      <c r="AK124">
        <v>21</v>
      </c>
      <c r="AL124">
        <f>IFERROR(_xlfn.BINOM.DIST(AK124,Odds!$L$32,Odds!$L$33,FALSE),0)</f>
        <v>5.4614499704774309E-15</v>
      </c>
    </row>
    <row r="125" spans="1:38" x14ac:dyDescent="0.25">
      <c r="E125" t="s">
        <v>317</v>
      </c>
      <c r="H125" t="s">
        <v>320</v>
      </c>
      <c r="K125" t="s">
        <v>320</v>
      </c>
      <c r="P125" s="94"/>
      <c r="S125" s="94"/>
      <c r="Y125" s="36">
        <v>12200</v>
      </c>
      <c r="Z125">
        <f t="shared" si="9"/>
        <v>99.920812073171845</v>
      </c>
      <c r="AA125">
        <f t="shared" si="14"/>
        <v>4.7734982386629099E-3</v>
      </c>
      <c r="AB125" s="95">
        <v>12200</v>
      </c>
      <c r="AC125">
        <f t="shared" si="8"/>
        <v>65.434449050949013</v>
      </c>
      <c r="AD125" s="96">
        <f t="shared" si="15"/>
        <v>0.30229306094902597</v>
      </c>
      <c r="AE125" s="95">
        <v>12200</v>
      </c>
      <c r="AF125">
        <f t="shared" si="10"/>
        <v>47.644181123919758</v>
      </c>
      <c r="AG125" s="96">
        <f t="shared" si="11"/>
        <v>0.27844125586754132</v>
      </c>
      <c r="AH125">
        <v>12200</v>
      </c>
      <c r="AI125">
        <f t="shared" si="12"/>
        <v>93.99361076714375</v>
      </c>
      <c r="AJ125" s="37">
        <f t="shared" si="13"/>
        <v>0.14006762154019725</v>
      </c>
      <c r="AK125">
        <v>22</v>
      </c>
      <c r="AL125">
        <f>IFERROR(_xlfn.BINOM.DIST(AK125,Odds!$L$32,Odds!$L$33,FALSE),0)</f>
        <v>4.9555192179703479E-16</v>
      </c>
    </row>
    <row r="126" spans="1:38" x14ac:dyDescent="0.25">
      <c r="A126" t="s">
        <v>198</v>
      </c>
      <c r="C126" s="1">
        <v>1.4</v>
      </c>
      <c r="S126" s="94"/>
      <c r="Y126" s="36">
        <v>12300</v>
      </c>
      <c r="Z126">
        <f t="shared" si="9"/>
        <v>99.925314181478541</v>
      </c>
      <c r="AA126">
        <f t="shared" si="14"/>
        <v>4.502108306695618E-3</v>
      </c>
      <c r="AB126" s="95">
        <v>12300</v>
      </c>
      <c r="AC126">
        <f t="shared" si="8"/>
        <v>65.734121327697252</v>
      </c>
      <c r="AD126" s="96">
        <f t="shared" si="15"/>
        <v>0.2996722767482396</v>
      </c>
      <c r="AE126" s="95">
        <v>12300</v>
      </c>
      <c r="AF126">
        <f t="shared" si="10"/>
        <v>47.921149393698506</v>
      </c>
      <c r="AG126" s="96">
        <f t="shared" si="11"/>
        <v>0.27696826977874878</v>
      </c>
      <c r="AH126">
        <v>12300</v>
      </c>
      <c r="AI126">
        <f t="shared" si="12"/>
        <v>94.130486478438996</v>
      </c>
      <c r="AJ126" s="37">
        <f t="shared" si="13"/>
        <v>0.13687571129524656</v>
      </c>
      <c r="AK126">
        <v>23</v>
      </c>
      <c r="AL126">
        <f>IFERROR(_xlfn.BINOM.DIST(AK126,Odds!$L$32,Odds!$L$33,FALSE),0)</f>
        <v>4.3005271277653885E-17</v>
      </c>
    </row>
    <row r="127" spans="1:38" x14ac:dyDescent="0.25">
      <c r="A127" t="s">
        <v>181</v>
      </c>
      <c r="B127" s="1">
        <f>'Offensive Stats'!B22+'Offensive Stats'!B25+'Offensive Stats'!B28+'Offensive Stats'!B32</f>
        <v>1</v>
      </c>
      <c r="C127" s="1">
        <v>1.4</v>
      </c>
      <c r="S127" s="94"/>
      <c r="Y127" s="36">
        <v>12400</v>
      </c>
      <c r="Z127">
        <f t="shared" si="9"/>
        <v>99.929560329312267</v>
      </c>
      <c r="AA127">
        <f t="shared" si="14"/>
        <v>4.2461478337258995E-3</v>
      </c>
      <c r="AB127" s="95">
        <v>12400</v>
      </c>
      <c r="AC127">
        <f t="shared" si="8"/>
        <v>66.031195541605854</v>
      </c>
      <c r="AD127" s="96">
        <f t="shared" si="15"/>
        <v>0.29707421390860134</v>
      </c>
      <c r="AE127" s="95">
        <v>12400</v>
      </c>
      <c r="AF127">
        <f t="shared" si="10"/>
        <v>48.196652469653309</v>
      </c>
      <c r="AG127" s="96">
        <f t="shared" si="11"/>
        <v>0.27550307595480206</v>
      </c>
      <c r="AH127">
        <v>12400</v>
      </c>
      <c r="AI127">
        <f t="shared" si="12"/>
        <v>94.264243017863009</v>
      </c>
      <c r="AJ127" s="37">
        <f t="shared" si="13"/>
        <v>0.133756539424013</v>
      </c>
      <c r="AK127">
        <v>24</v>
      </c>
      <c r="AL127">
        <f>IFERROR(_xlfn.BINOM.DIST(AK127,Odds!$L$32,Odds!$L$33,FALSE),0)</f>
        <v>3.5762451785119828E-18</v>
      </c>
    </row>
    <row r="128" spans="1:38" x14ac:dyDescent="0.25">
      <c r="A128" t="s">
        <v>182</v>
      </c>
      <c r="B128" s="1">
        <f>'Offensive Stats'!B22+'Offensive Stats'!B25+'Offensive Stats'!B31+'Offensive Stats'!B32</f>
        <v>1</v>
      </c>
      <c r="E128" t="s">
        <v>393</v>
      </c>
      <c r="S128" s="94"/>
      <c r="Y128" s="36">
        <v>12500</v>
      </c>
      <c r="Z128">
        <f t="shared" si="9"/>
        <v>99.933565068913722</v>
      </c>
      <c r="AA128">
        <f t="shared" si="14"/>
        <v>4.0047396014557535E-3</v>
      </c>
      <c r="AB128" s="95">
        <v>12500</v>
      </c>
      <c r="AC128">
        <f t="shared" si="8"/>
        <v>66.325694217049104</v>
      </c>
      <c r="AD128" s="96">
        <f t="shared" si="15"/>
        <v>0.29449867544325059</v>
      </c>
      <c r="AE128" s="95">
        <v>12500</v>
      </c>
      <c r="AF128">
        <f t="shared" si="10"/>
        <v>48.470698102827079</v>
      </c>
      <c r="AG128" s="96">
        <f t="shared" si="11"/>
        <v>0.2740456331737704</v>
      </c>
      <c r="AH128">
        <v>12500</v>
      </c>
      <c r="AI128">
        <f t="shared" si="12"/>
        <v>94.394951466201988</v>
      </c>
      <c r="AJ128" s="37">
        <f t="shared" si="13"/>
        <v>0.13070844833897866</v>
      </c>
      <c r="AK128">
        <v>25</v>
      </c>
      <c r="AL128">
        <f>IFERROR(_xlfn.BINOM.DIST(AK128,Odds!$L$32,Odds!$L$33,FALSE),0)</f>
        <v>2.8547006922052693E-19</v>
      </c>
    </row>
    <row r="129" spans="1:38" x14ac:dyDescent="0.25">
      <c r="A129" t="s">
        <v>185</v>
      </c>
      <c r="B129" s="1">
        <f>'Offensive Stats'!B22+'Offensive Stats'!B25+'Offensive Stats'!B28+'Offensive Stats'!B29+'Offensive Stats'!B30+'Offensive Stats'!B31+'Offensive Stats'!B32</f>
        <v>1</v>
      </c>
      <c r="E129" t="s">
        <v>341</v>
      </c>
      <c r="S129" s="94"/>
      <c r="Y129" s="36">
        <v>12600</v>
      </c>
      <c r="Z129">
        <f t="shared" si="9"/>
        <v>99.937342125178219</v>
      </c>
      <c r="AA129">
        <f t="shared" si="14"/>
        <v>3.7770562644965366E-3</v>
      </c>
      <c r="AB129" s="95">
        <v>12600</v>
      </c>
      <c r="AC129">
        <f t="shared" si="8"/>
        <v>66.61763968312215</v>
      </c>
      <c r="AD129" s="96">
        <f t="shared" si="15"/>
        <v>0.29194546607304517</v>
      </c>
      <c r="AE129" s="95">
        <v>12600</v>
      </c>
      <c r="AF129">
        <f t="shared" si="10"/>
        <v>48.743294003258818</v>
      </c>
      <c r="AG129" s="96">
        <f t="shared" si="11"/>
        <v>0.27259590043173887</v>
      </c>
      <c r="AH129">
        <v>12600</v>
      </c>
      <c r="AI129">
        <f t="shared" si="12"/>
        <v>94.522681284428089</v>
      </c>
      <c r="AJ129" s="37">
        <f t="shared" si="13"/>
        <v>0.12772981822610063</v>
      </c>
      <c r="AK129">
        <v>26</v>
      </c>
      <c r="AL129">
        <f>IFERROR(_xlfn.BINOM.DIST(AK129,Odds!$L$32,Odds!$L$33,FALSE),0)</f>
        <v>2.1908719747601652E-20</v>
      </c>
    </row>
    <row r="130" spans="1:38" x14ac:dyDescent="0.25">
      <c r="A130" s="25"/>
      <c r="E130" t="s">
        <v>342</v>
      </c>
      <c r="S130" s="94"/>
      <c r="Y130" s="36">
        <v>12700</v>
      </c>
      <c r="Z130">
        <f t="shared" si="9"/>
        <v>99.94090444269321</v>
      </c>
      <c r="AA130">
        <f t="shared" si="14"/>
        <v>3.5623175149908093E-3</v>
      </c>
      <c r="AB130" s="95">
        <v>12700</v>
      </c>
      <c r="AC130">
        <f t="shared" si="8"/>
        <v>66.907054075334031</v>
      </c>
      <c r="AD130" s="96">
        <f t="shared" si="15"/>
        <v>0.28941439221188148</v>
      </c>
      <c r="AE130" s="95">
        <v>12700</v>
      </c>
      <c r="AF130">
        <f t="shared" si="10"/>
        <v>49.014447840200539</v>
      </c>
      <c r="AG130" s="96">
        <f t="shared" si="11"/>
        <v>0.27115383694172124</v>
      </c>
      <c r="AH130">
        <v>12700</v>
      </c>
      <c r="AI130">
        <f t="shared" si="12"/>
        <v>94.64750035061239</v>
      </c>
      <c r="AJ130" s="37">
        <f t="shared" si="13"/>
        <v>0.12481906618430116</v>
      </c>
      <c r="AK130">
        <v>27</v>
      </c>
      <c r="AL130">
        <f>IFERROR(_xlfn.BINOM.DIST(AK130,Odds!$L$32,Odds!$L$33,FALSE),0)</f>
        <v>1.6189724668087645E-21</v>
      </c>
    </row>
    <row r="131" spans="1:38" x14ac:dyDescent="0.25">
      <c r="A131" t="s">
        <v>199</v>
      </c>
      <c r="C131" s="1">
        <v>2</v>
      </c>
      <c r="E131" t="s">
        <v>343</v>
      </c>
      <c r="Y131" s="36">
        <v>12800</v>
      </c>
      <c r="Z131">
        <f t="shared" si="9"/>
        <v>99.944264230101425</v>
      </c>
      <c r="AA131">
        <f t="shared" si="14"/>
        <v>3.3597874082147428E-3</v>
      </c>
      <c r="AB131" s="95">
        <v>12800</v>
      </c>
      <c r="AC131">
        <f t="shared" si="8"/>
        <v>67.19395933728596</v>
      </c>
      <c r="AD131" s="96">
        <f t="shared" si="15"/>
        <v>0.28690526195192945</v>
      </c>
      <c r="AE131" s="95">
        <v>12800</v>
      </c>
      <c r="AF131">
        <f t="shared" si="10"/>
        <v>49.284167242333034</v>
      </c>
      <c r="AG131" s="96">
        <f t="shared" si="11"/>
        <v>0.26971940213249468</v>
      </c>
      <c r="AH131">
        <v>12800</v>
      </c>
      <c r="AI131">
        <f t="shared" si="12"/>
        <v>94.769474995996632</v>
      </c>
      <c r="AJ131" s="37">
        <f t="shared" si="13"/>
        <v>0.12197464538424185</v>
      </c>
      <c r="AK131">
        <v>28</v>
      </c>
      <c r="AL131">
        <f>IFERROR(_xlfn.BINOM.DIST(AK131,Odds!$L$32,Odds!$L$33,FALSE),0)</f>
        <v>1.1535173042811295E-22</v>
      </c>
    </row>
    <row r="132" spans="1:38" x14ac:dyDescent="0.25">
      <c r="A132" t="s">
        <v>169</v>
      </c>
      <c r="B132" s="1">
        <f>'Offensive Stats'!B22+'Offensive Stats'!B28+'Offensive Stats'!B32</f>
        <v>1</v>
      </c>
      <c r="E132" t="s">
        <v>344</v>
      </c>
      <c r="Y132" s="36">
        <v>12900</v>
      </c>
      <c r="Z132">
        <f t="shared" si="9"/>
        <v>99.947433001941945</v>
      </c>
      <c r="AA132">
        <f t="shared" si="14"/>
        <v>3.1687718405208898E-3</v>
      </c>
      <c r="AB132" s="95">
        <v>12900</v>
      </c>
      <c r="AC132">
        <f t="shared" ref="AC132:AC195" si="16" xml:space="preserve"> (1 - (0.9^(AB132/1210))) * 100</f>
        <v>67.478377222335183</v>
      </c>
      <c r="AD132" s="96">
        <f t="shared" si="15"/>
        <v>0.28441788504922272</v>
      </c>
      <c r="AE132" s="95">
        <v>12900</v>
      </c>
      <c r="AF132">
        <f t="shared" si="10"/>
        <v>49.552459797980489</v>
      </c>
      <c r="AG132" s="96">
        <f t="shared" si="11"/>
        <v>0.2682925556474558</v>
      </c>
      <c r="AH132">
        <v>12900</v>
      </c>
      <c r="AI132">
        <f t="shared" si="12"/>
        <v>94.888670040242872</v>
      </c>
      <c r="AJ132" s="37">
        <f t="shared" si="13"/>
        <v>0.11919504424623995</v>
      </c>
      <c r="AK132">
        <v>29</v>
      </c>
      <c r="AL132">
        <f>IFERROR(_xlfn.BINOM.DIST(AK132,Odds!$L$32,Odds!$L$33,FALSE),0)</f>
        <v>7.9346038575241043E-24</v>
      </c>
    </row>
    <row r="133" spans="1:38" x14ac:dyDescent="0.25">
      <c r="A133" t="s">
        <v>177</v>
      </c>
      <c r="B133" s="1">
        <f>'Offensive Stats'!B22+'Offensive Stats'!B31+'Offensive Stats'!B32</f>
        <v>1</v>
      </c>
      <c r="E133" t="s">
        <v>345</v>
      </c>
      <c r="Y133" s="36">
        <v>13000</v>
      </c>
      <c r="Z133">
        <f t="shared" ref="Z133:Z196" si="17" xml:space="preserve"> (1 - (0.9^(Y133/180))) * 100</f>
        <v>99.950421618112301</v>
      </c>
      <c r="AA133">
        <f t="shared" si="14"/>
        <v>2.98861617035584E-3</v>
      </c>
      <c r="AB133" s="95">
        <v>13000</v>
      </c>
      <c r="AC133">
        <f t="shared" si="16"/>
        <v>67.760329295244276</v>
      </c>
      <c r="AD133" s="96">
        <f t="shared" si="15"/>
        <v>0.28195207290909252</v>
      </c>
      <c r="AE133" s="95">
        <v>13000</v>
      </c>
      <c r="AF133">
        <f t="shared" ref="AF133:AF196" si="18" xml:space="preserve"> (1 - (0.5^(AE133/13068))) * 100</f>
        <v>49.819333055324002</v>
      </c>
      <c r="AG133" s="96">
        <f t="shared" ref="AG133:AG196" si="19">AF133-AF132</f>
        <v>0.26687325734351219</v>
      </c>
      <c r="AH133">
        <v>13000</v>
      </c>
      <c r="AI133">
        <f t="shared" ref="AI133:AI196" si="20" xml:space="preserve"> (1 - (0.8^(AH133/968))) * 100</f>
        <v>95.0051488258799</v>
      </c>
      <c r="AJ133" s="37">
        <f t="shared" ref="AJ133:AJ196" si="21">AI133-AI132</f>
        <v>0.11647878563702818</v>
      </c>
      <c r="AK133">
        <v>30</v>
      </c>
      <c r="AL133">
        <f>IFERROR(_xlfn.BINOM.DIST(AK133,Odds!$L$32,Odds!$L$33,FALSE),0)</f>
        <v>5.2754507610438043E-25</v>
      </c>
    </row>
    <row r="134" spans="1:38" x14ac:dyDescent="0.25">
      <c r="Y134" s="36">
        <v>13100</v>
      </c>
      <c r="Z134">
        <f t="shared" si="17"/>
        <v>99.95324032108725</v>
      </c>
      <c r="AA134">
        <f t="shared" ref="AA134:AA197" si="22">Z134-Z133</f>
        <v>2.8187029749489056E-3</v>
      </c>
      <c r="AB134" s="95">
        <v>13100</v>
      </c>
      <c r="AC134">
        <f t="shared" si="16"/>
        <v>68.03983693381619</v>
      </c>
      <c r="AD134" s="96">
        <f t="shared" ref="AD134:AD197" si="23">AC134-AC133</f>
        <v>0.27950763857191419</v>
      </c>
      <c r="AE134" s="95">
        <v>13100</v>
      </c>
      <c r="AF134">
        <f t="shared" si="18"/>
        <v>50.08479452261394</v>
      </c>
      <c r="AG134" s="96">
        <f t="shared" si="19"/>
        <v>0.26546146728993847</v>
      </c>
      <c r="AH134">
        <v>13100</v>
      </c>
      <c r="AI134">
        <f t="shared" si="20"/>
        <v>95.118973251964647</v>
      </c>
      <c r="AJ134" s="37">
        <f t="shared" si="21"/>
        <v>0.11382442608474719</v>
      </c>
      <c r="AK134">
        <v>31</v>
      </c>
      <c r="AL134">
        <f>IFERROR(_xlfn.BINOM.DIST(AK134,Odds!$L$32,Odds!$L$33,FALSE),0)</f>
        <v>3.3939848671416015E-26</v>
      </c>
    </row>
    <row r="135" spans="1:38" x14ac:dyDescent="0.25">
      <c r="A135" t="s">
        <v>200</v>
      </c>
      <c r="C135" s="1">
        <v>2</v>
      </c>
      <c r="Y135" s="36">
        <v>13200</v>
      </c>
      <c r="Z135">
        <f t="shared" si="17"/>
        <v>99.955898771021268</v>
      </c>
      <c r="AA135">
        <f t="shared" si="22"/>
        <v>2.6584499340174261E-3</v>
      </c>
      <c r="AB135" s="95">
        <v>13200</v>
      </c>
      <c r="AC135">
        <f t="shared" si="16"/>
        <v>68.316921330515228</v>
      </c>
      <c r="AD135" s="96">
        <f t="shared" si="23"/>
        <v>0.27708439669903839</v>
      </c>
      <c r="AE135" s="95">
        <v>13200</v>
      </c>
      <c r="AF135">
        <f t="shared" si="18"/>
        <v>50.348851668381123</v>
      </c>
      <c r="AG135" s="96">
        <f t="shared" si="19"/>
        <v>0.26405714576718253</v>
      </c>
      <c r="AH135">
        <v>13200</v>
      </c>
      <c r="AI135">
        <f t="shared" si="20"/>
        <v>95.23020380697659</v>
      </c>
      <c r="AJ135" s="37">
        <f t="shared" si="21"/>
        <v>0.11123055501194301</v>
      </c>
      <c r="AK135">
        <v>32</v>
      </c>
      <c r="AL135">
        <f>IFERROR(_xlfn.BINOM.DIST(AK135,Odds!$L$32,Odds!$L$33,FALSE),0)</f>
        <v>2.1150877138261796E-27</v>
      </c>
    </row>
    <row r="136" spans="1:38" x14ac:dyDescent="0.25">
      <c r="A136" t="s">
        <v>178</v>
      </c>
      <c r="B136" s="1">
        <f>'Offensive Stats'!B22+'Offensive Stats'!B31+'Offensive Stats'!B32</f>
        <v>1</v>
      </c>
      <c r="E136" t="s">
        <v>346</v>
      </c>
      <c r="Y136" s="36">
        <v>13300</v>
      </c>
      <c r="Z136">
        <f t="shared" si="17"/>
        <v>99.958406078855617</v>
      </c>
      <c r="AA136">
        <f t="shared" si="22"/>
        <v>2.5073078343496036E-3</v>
      </c>
      <c r="AB136" s="95">
        <v>13300</v>
      </c>
      <c r="AC136">
        <f t="shared" si="16"/>
        <v>68.591603494073766</v>
      </c>
      <c r="AD136" s="96">
        <f t="shared" si="23"/>
        <v>0.2746821635585377</v>
      </c>
      <c r="AE136" s="95">
        <v>13300</v>
      </c>
      <c r="AF136">
        <f t="shared" si="18"/>
        <v>50.611511921647057</v>
      </c>
      <c r="AG136" s="96">
        <f t="shared" si="19"/>
        <v>0.26266025326593478</v>
      </c>
      <c r="AH136">
        <v>13300</v>
      </c>
      <c r="AI136">
        <f t="shared" si="20"/>
        <v>95.338899600962435</v>
      </c>
      <c r="AJ136" s="37">
        <f t="shared" si="21"/>
        <v>0.10869579398584506</v>
      </c>
      <c r="AK136">
        <v>33</v>
      </c>
      <c r="AL136">
        <f>IFERROR(_xlfn.BINOM.DIST(AK136,Odds!$L$32,Odds!$L$33,FALSE),0)</f>
        <v>1.2780249584110349E-28</v>
      </c>
    </row>
    <row r="137" spans="1:38" x14ac:dyDescent="0.25">
      <c r="A137" t="s">
        <v>175</v>
      </c>
      <c r="B137" s="1">
        <f>'Offensive Stats'!B22+'Offensive Stats'!B29+'Offensive Stats'!B32</f>
        <v>1</v>
      </c>
      <c r="E137" t="s">
        <v>347</v>
      </c>
      <c r="Y137" s="36">
        <v>13400</v>
      </c>
      <c r="Z137">
        <f t="shared" si="17"/>
        <v>99.960770837542867</v>
      </c>
      <c r="AA137">
        <f t="shared" si="22"/>
        <v>2.364758687249946E-3</v>
      </c>
      <c r="AB137" s="95">
        <v>13400</v>
      </c>
      <c r="AC137">
        <f t="shared" si="16"/>
        <v>68.863904251085131</v>
      </c>
      <c r="AD137" s="96">
        <f t="shared" si="23"/>
        <v>0.27230075701136514</v>
      </c>
      <c r="AE137" s="95">
        <v>13400</v>
      </c>
      <c r="AF137">
        <f t="shared" si="18"/>
        <v>50.8727826721328</v>
      </c>
      <c r="AG137" s="96">
        <f t="shared" si="19"/>
        <v>0.26127075048574255</v>
      </c>
      <c r="AH137">
        <v>13400</v>
      </c>
      <c r="AI137">
        <f t="shared" si="20"/>
        <v>95.445118396948345</v>
      </c>
      <c r="AJ137" s="37">
        <f t="shared" si="21"/>
        <v>0.10621879598591022</v>
      </c>
      <c r="AK137">
        <v>34</v>
      </c>
      <c r="AL137">
        <f>IFERROR(_xlfn.BINOM.DIST(AK137,Odds!$L$32,Odds!$L$33,FALSE),0)</f>
        <v>7.4944840500351588E-30</v>
      </c>
    </row>
    <row r="138" spans="1:38" x14ac:dyDescent="0.25">
      <c r="E138" t="s">
        <v>348</v>
      </c>
      <c r="Y138" s="36">
        <v>13500</v>
      </c>
      <c r="Z138">
        <f t="shared" si="17"/>
        <v>99.963001151496485</v>
      </c>
      <c r="AA138">
        <f t="shared" si="22"/>
        <v>2.2303139536177241E-3</v>
      </c>
      <c r="AB138" s="95">
        <v>13500</v>
      </c>
      <c r="AC138">
        <f t="shared" si="16"/>
        <v>69.133844247582815</v>
      </c>
      <c r="AD138" s="96">
        <f t="shared" si="23"/>
        <v>0.26993999649768341</v>
      </c>
      <c r="AE138" s="95">
        <v>13500</v>
      </c>
      <c r="AF138">
        <f t="shared" si="18"/>
        <v>51.132671270466986</v>
      </c>
      <c r="AG138" s="96">
        <f t="shared" si="19"/>
        <v>0.25988859833418587</v>
      </c>
      <c r="AH138">
        <v>13500</v>
      </c>
      <c r="AI138">
        <f t="shared" si="20"/>
        <v>95.548916641636325</v>
      </c>
      <c r="AJ138" s="37">
        <f t="shared" si="21"/>
        <v>0.10379824468797949</v>
      </c>
      <c r="AK138">
        <v>35</v>
      </c>
      <c r="AL138">
        <f>IFERROR(_xlfn.BINOM.DIST(AK138,Odds!$L$32,Odds!$L$33,FALSE),0)</f>
        <v>4.2688553735118376E-31</v>
      </c>
    </row>
    <row r="139" spans="1:38" x14ac:dyDescent="0.25">
      <c r="A139" t="s">
        <v>201</v>
      </c>
      <c r="C139" s="1">
        <v>2.5</v>
      </c>
      <c r="E139" t="s">
        <v>349</v>
      </c>
      <c r="Y139" s="36">
        <v>13600</v>
      </c>
      <c r="Z139">
        <f t="shared" si="17"/>
        <v>99.96510466436591</v>
      </c>
      <c r="AA139">
        <f t="shared" si="22"/>
        <v>2.1035128694251171E-3</v>
      </c>
      <c r="AB139" s="95">
        <v>13600</v>
      </c>
      <c r="AC139">
        <f t="shared" si="16"/>
        <v>69.40144395060581</v>
      </c>
      <c r="AD139" s="96">
        <f t="shared" si="23"/>
        <v>0.26759970302299507</v>
      </c>
      <c r="AE139" s="95">
        <v>13600</v>
      </c>
      <c r="AF139">
        <f t="shared" si="18"/>
        <v>51.391185028392592</v>
      </c>
      <c r="AG139" s="96">
        <f t="shared" si="19"/>
        <v>0.2585137579256056</v>
      </c>
      <c r="AH139" s="35">
        <v>13600</v>
      </c>
      <c r="AI139" s="35">
        <f t="shared" si="20"/>
        <v>95.650349495401059</v>
      </c>
      <c r="AJ139" s="101">
        <f t="shared" si="21"/>
        <v>0.10143285376473443</v>
      </c>
      <c r="AK139">
        <v>36</v>
      </c>
      <c r="AL139">
        <f>IFERROR(_xlfn.BINOM.DIST(AK139,Odds!$L$32,Odds!$L$33,FALSE),0)</f>
        <v>2.3637585182062018E-32</v>
      </c>
    </row>
    <row r="140" spans="1:38" x14ac:dyDescent="0.25">
      <c r="A140" t="s">
        <v>179</v>
      </c>
      <c r="B140" s="1">
        <f>'Offensive Stats'!B22+'Offensive Stats'!B29+'Offensive Stats'!B32</f>
        <v>1</v>
      </c>
      <c r="E140" t="s">
        <v>350</v>
      </c>
      <c r="Y140" s="36">
        <v>13700</v>
      </c>
      <c r="Z140">
        <f t="shared" si="17"/>
        <v>99.967088585232602</v>
      </c>
      <c r="AA140">
        <f t="shared" si="22"/>
        <v>1.9839208666923014E-3</v>
      </c>
      <c r="AB140" s="95">
        <v>13700</v>
      </c>
      <c r="AC140">
        <f t="shared" si="16"/>
        <v>69.666723649750352</v>
      </c>
      <c r="AD140" s="96">
        <f t="shared" si="23"/>
        <v>0.26527969914454275</v>
      </c>
      <c r="AE140" s="95">
        <v>13700</v>
      </c>
      <c r="AF140">
        <f t="shared" si="18"/>
        <v>51.648331218972601</v>
      </c>
      <c r="AG140" s="96">
        <f t="shared" si="19"/>
        <v>0.2571461905800092</v>
      </c>
      <c r="AH140">
        <v>13700</v>
      </c>
      <c r="AI140">
        <f t="shared" si="20"/>
        <v>95.749470861603214</v>
      </c>
      <c r="AJ140" s="37">
        <f t="shared" si="21"/>
        <v>9.9121366202155059E-2</v>
      </c>
      <c r="AK140">
        <v>37</v>
      </c>
      <c r="AL140">
        <f>IFERROR(_xlfn.BINOM.DIST(AK140,Odds!$L$32,Odds!$L$33,FALSE),0)</f>
        <v>1.2733622332794392E-33</v>
      </c>
    </row>
    <row r="141" spans="1:38" x14ac:dyDescent="0.25">
      <c r="A141" t="s">
        <v>180</v>
      </c>
      <c r="B141" s="1">
        <f>'Offensive Stats'!B22+'Offensive Stats'!B30+'Offensive Stats'!B32</f>
        <v>1</v>
      </c>
      <c r="E141" t="s">
        <v>351</v>
      </c>
      <c r="Y141" s="36">
        <v>13800</v>
      </c>
      <c r="Z141">
        <f t="shared" si="17"/>
        <v>99.968959713316693</v>
      </c>
      <c r="AA141">
        <f t="shared" si="22"/>
        <v>1.871128084090401E-3</v>
      </c>
      <c r="AB141" s="95">
        <v>13800</v>
      </c>
      <c r="AC141">
        <f t="shared" si="16"/>
        <v>69.929703458708431</v>
      </c>
      <c r="AD141" s="96">
        <f t="shared" si="23"/>
        <v>0.26297980895807882</v>
      </c>
      <c r="AE141" s="95">
        <v>13800</v>
      </c>
      <c r="AF141">
        <f t="shared" si="18"/>
        <v>51.904117076794677</v>
      </c>
      <c r="AG141" s="96">
        <f t="shared" si="19"/>
        <v>0.25578585782207597</v>
      </c>
      <c r="AH141">
        <v>13800</v>
      </c>
      <c r="AI141">
        <f t="shared" si="20"/>
        <v>95.84633341523471</v>
      </c>
      <c r="AJ141" s="37">
        <f t="shared" si="21"/>
        <v>9.6862553631495985E-2</v>
      </c>
      <c r="AK141">
        <v>38</v>
      </c>
      <c r="AL141">
        <f>IFERROR(_xlfn.BINOM.DIST(AK141,Odds!$L$32,Odds!$L$33,FALSE),0)</f>
        <v>6.6784451259531791E-35</v>
      </c>
    </row>
    <row r="142" spans="1:38" x14ac:dyDescent="0.25">
      <c r="Y142" s="36">
        <v>13900</v>
      </c>
      <c r="Z142">
        <f t="shared" si="17"/>
        <v>99.970724461279133</v>
      </c>
      <c r="AA142">
        <f t="shared" si="22"/>
        <v>1.764747962440083E-3</v>
      </c>
      <c r="AB142" s="95">
        <v>13900</v>
      </c>
      <c r="AC142">
        <f t="shared" si="16"/>
        <v>70.190403316792725</v>
      </c>
      <c r="AD142" s="96">
        <f t="shared" si="23"/>
        <v>0.26069985808429408</v>
      </c>
      <c r="AE142" s="95">
        <v>13900</v>
      </c>
      <c r="AF142">
        <f t="shared" si="18"/>
        <v>52.158549798174711</v>
      </c>
      <c r="AG142" s="96">
        <f t="shared" si="19"/>
        <v>0.25443272138003437</v>
      </c>
      <c r="AH142">
        <v>13900</v>
      </c>
      <c r="AI142">
        <f t="shared" si="20"/>
        <v>95.940988630911207</v>
      </c>
      <c r="AJ142" s="37">
        <f t="shared" si="21"/>
        <v>9.4655215676496596E-2</v>
      </c>
      <c r="AK142">
        <v>39</v>
      </c>
      <c r="AL142">
        <f>IFERROR(_xlfn.BINOM.DIST(AK142,Odds!$L$32,Odds!$L$33,FALSE),0)</f>
        <v>3.412511750798577E-36</v>
      </c>
    </row>
    <row r="143" spans="1:38" x14ac:dyDescent="0.25">
      <c r="Y143" s="36">
        <v>14000</v>
      </c>
      <c r="Z143">
        <f t="shared" si="17"/>
        <v>99.97238887719881</v>
      </c>
      <c r="AA143">
        <f t="shared" si="22"/>
        <v>1.6644159196772534E-3</v>
      </c>
      <c r="AB143" s="95">
        <v>14000</v>
      </c>
      <c r="AC143">
        <f t="shared" si="16"/>
        <v>70.448842990448441</v>
      </c>
      <c r="AD143" s="96">
        <f t="shared" si="23"/>
        <v>0.2584396736557153</v>
      </c>
      <c r="AE143" s="95">
        <v>14000</v>
      </c>
      <c r="AF143">
        <f t="shared" si="18"/>
        <v>52.411636541359222</v>
      </c>
      <c r="AG143" s="96">
        <f t="shared" si="19"/>
        <v>0.25308674318451096</v>
      </c>
      <c r="AH143">
        <v>14000</v>
      </c>
      <c r="AI143">
        <f t="shared" si="20"/>
        <v>96.033486810226691</v>
      </c>
      <c r="AJ143" s="37">
        <f t="shared" si="21"/>
        <v>9.2498179315484208E-2</v>
      </c>
      <c r="AK143">
        <v>40</v>
      </c>
      <c r="AL143">
        <f>IFERROR(_xlfn.BINOM.DIST(AK143,Odds!$L$32,Odds!$L$33,FALSE),0)</f>
        <v>1.6999414657784268E-37</v>
      </c>
    </row>
    <row r="144" spans="1:38" x14ac:dyDescent="0.25">
      <c r="E144" t="s">
        <v>352</v>
      </c>
      <c r="Y144" s="36">
        <v>14100</v>
      </c>
      <c r="Z144">
        <f t="shared" si="17"/>
        <v>99.973958665300344</v>
      </c>
      <c r="AA144">
        <f t="shared" si="22"/>
        <v>1.5697881015341864E-3</v>
      </c>
      <c r="AB144" s="95">
        <v>14100</v>
      </c>
      <c r="AC144">
        <f t="shared" si="16"/>
        <v>70.705042074752043</v>
      </c>
      <c r="AD144" s="96">
        <f t="shared" si="23"/>
        <v>0.25619908430360283</v>
      </c>
      <c r="AE144" s="95">
        <v>14100</v>
      </c>
      <c r="AF144">
        <f t="shared" si="18"/>
        <v>52.6633844267268</v>
      </c>
      <c r="AG144" s="96">
        <f t="shared" si="19"/>
        <v>0.25174788536757831</v>
      </c>
      <c r="AH144">
        <v>14100</v>
      </c>
      <c r="AI144">
        <f t="shared" si="20"/>
        <v>96.123877108484805</v>
      </c>
      <c r="AJ144" s="37">
        <f t="shared" si="21"/>
        <v>9.0390298258114399E-2</v>
      </c>
      <c r="AK144">
        <v>41</v>
      </c>
      <c r="AL144">
        <f>IFERROR(_xlfn.BINOM.DIST(AK144,Odds!$L$32,Odds!$L$33,FALSE),0)</f>
        <v>8.2608799804608972E-39</v>
      </c>
    </row>
    <row r="145" spans="5:38" x14ac:dyDescent="0.25">
      <c r="E145" t="s">
        <v>353</v>
      </c>
      <c r="Y145" s="36">
        <v>14200</v>
      </c>
      <c r="Z145">
        <f t="shared" si="17"/>
        <v>99.975439205503449</v>
      </c>
      <c r="AA145">
        <f t="shared" si="22"/>
        <v>1.4805402031043968E-3</v>
      </c>
      <c r="AB145" s="95">
        <v>14200</v>
      </c>
      <c r="AC145">
        <f t="shared" si="16"/>
        <v>70.959019994896948</v>
      </c>
      <c r="AD145" s="96">
        <f t="shared" si="23"/>
        <v>0.25397792014490506</v>
      </c>
      <c r="AE145" s="97">
        <v>14200</v>
      </c>
      <c r="AF145" s="35">
        <f t="shared" si="18"/>
        <v>52.91380053698844</v>
      </c>
      <c r="AG145" s="98">
        <f t="shared" si="19"/>
        <v>0.25041611026163935</v>
      </c>
      <c r="AH145">
        <v>14200</v>
      </c>
      <c r="AI145">
        <f t="shared" si="20"/>
        <v>96.212207560820744</v>
      </c>
      <c r="AJ145" s="37">
        <f t="shared" si="21"/>
        <v>8.8330452335938503E-2</v>
      </c>
      <c r="AK145">
        <v>42</v>
      </c>
      <c r="AL145">
        <f>IFERROR(_xlfn.BINOM.DIST(AK145,Odds!$L$32,Odds!$L$33,FALSE),0)</f>
        <v>3.9184076684579703E-40</v>
      </c>
    </row>
    <row r="146" spans="5:38" x14ac:dyDescent="0.25">
      <c r="E146" t="s">
        <v>354</v>
      </c>
      <c r="Y146" s="36">
        <v>14300</v>
      </c>
      <c r="Z146">
        <f t="shared" si="17"/>
        <v>99.97683557186069</v>
      </c>
      <c r="AA146">
        <f t="shared" si="22"/>
        <v>1.3963663572411633E-3</v>
      </c>
      <c r="AB146" s="95">
        <v>14300</v>
      </c>
      <c r="AC146">
        <f t="shared" si="16"/>
        <v>71.210796007666318</v>
      </c>
      <c r="AD146" s="96">
        <f t="shared" si="23"/>
        <v>0.25177601276936912</v>
      </c>
      <c r="AE146" s="95">
        <v>14300</v>
      </c>
      <c r="AF146">
        <f t="shared" si="18"/>
        <v>53.162891917386759</v>
      </c>
      <c r="AG146" s="96">
        <f t="shared" si="19"/>
        <v>0.24909138039831902</v>
      </c>
      <c r="AH146">
        <v>14300</v>
      </c>
      <c r="AI146">
        <f t="shared" si="20"/>
        <v>96.298525107728167</v>
      </c>
      <c r="AJ146" s="37">
        <f t="shared" si="21"/>
        <v>8.6317546907423548E-2</v>
      </c>
      <c r="AK146">
        <v>43</v>
      </c>
      <c r="AL146">
        <f>IFERROR(_xlfn.BINOM.DIST(AK146,Odds!$L$32,Odds!$L$33,FALSE),0)</f>
        <v>1.8152236755492963E-41</v>
      </c>
    </row>
    <row r="147" spans="5:38" x14ac:dyDescent="0.25">
      <c r="E147" t="s">
        <v>355</v>
      </c>
      <c r="Y147" s="36">
        <v>14400</v>
      </c>
      <c r="Z147">
        <f t="shared" si="17"/>
        <v>99.978152549947168</v>
      </c>
      <c r="AA147">
        <f t="shared" si="22"/>
        <v>1.3169780864785707E-3</v>
      </c>
      <c r="AB147" s="95">
        <v>14400</v>
      </c>
      <c r="AC147">
        <f t="shared" si="16"/>
        <v>71.460389202893197</v>
      </c>
      <c r="AD147" s="96">
        <f t="shared" si="23"/>
        <v>0.24959319522687906</v>
      </c>
      <c r="AE147" s="95">
        <v>14400</v>
      </c>
      <c r="AF147">
        <f t="shared" si="18"/>
        <v>53.410665575894235</v>
      </c>
      <c r="AG147" s="96">
        <f t="shared" si="19"/>
        <v>0.24777365850747657</v>
      </c>
      <c r="AH147">
        <v>14400</v>
      </c>
      <c r="AI147">
        <f t="shared" si="20"/>
        <v>96.38287562000427</v>
      </c>
      <c r="AJ147" s="37">
        <f t="shared" si="21"/>
        <v>8.4350512276103018E-2</v>
      </c>
      <c r="AK147">
        <v>44</v>
      </c>
      <c r="AL147">
        <f>IFERROR(_xlfn.BINOM.DIST(AK147,Odds!$L$32,Odds!$L$33,FALSE),0)</f>
        <v>8.2171807713559615E-43</v>
      </c>
    </row>
    <row r="148" spans="5:38" x14ac:dyDescent="0.25">
      <c r="E148" t="s">
        <v>356</v>
      </c>
      <c r="Y148" s="36">
        <v>14500</v>
      </c>
      <c r="Z148">
        <f t="shared" si="17"/>
        <v>99.979394653261437</v>
      </c>
      <c r="AA148">
        <f t="shared" si="22"/>
        <v>1.2421033142686611E-3</v>
      </c>
      <c r="AB148" s="95">
        <v>14500</v>
      </c>
      <c r="AC148">
        <f t="shared" si="16"/>
        <v>71.707818504907905</v>
      </c>
      <c r="AD148" s="96">
        <f t="shared" si="23"/>
        <v>0.2474293020147087</v>
      </c>
      <c r="AE148" s="95">
        <v>14500</v>
      </c>
      <c r="AF148">
        <f t="shared" si="18"/>
        <v>53.657128483410375</v>
      </c>
      <c r="AG148" s="96">
        <f t="shared" si="19"/>
        <v>0.24646290751613975</v>
      </c>
      <c r="AH148">
        <v>14500</v>
      </c>
      <c r="AI148">
        <f t="shared" si="20"/>
        <v>96.465303923126385</v>
      </c>
      <c r="AJ148" s="37">
        <f t="shared" si="21"/>
        <v>8.2428303122114244E-2</v>
      </c>
      <c r="AK148">
        <v>45</v>
      </c>
      <c r="AL148">
        <f>IFERROR(_xlfn.BINOM.DIST(AK148,Odds!$L$32,Odds!$L$33,FALSE),0)</f>
        <v>3.6367385370239387E-44</v>
      </c>
    </row>
    <row r="149" spans="5:38" x14ac:dyDescent="0.25">
      <c r="E149" t="s">
        <v>357</v>
      </c>
      <c r="Y149" s="36">
        <v>14600</v>
      </c>
      <c r="Z149">
        <f t="shared" si="17"/>
        <v>99.980566138693987</v>
      </c>
      <c r="AA149">
        <f t="shared" si="22"/>
        <v>1.171485432550412E-3</v>
      </c>
      <c r="AB149" s="95">
        <v>14600</v>
      </c>
      <c r="AC149">
        <f t="shared" si="16"/>
        <v>71.953102673972793</v>
      </c>
      <c r="AD149" s="96">
        <f t="shared" si="23"/>
        <v>0.24528416906488815</v>
      </c>
      <c r="AE149" s="95">
        <v>14600</v>
      </c>
      <c r="AF149">
        <f t="shared" si="18"/>
        <v>53.90228757395785</v>
      </c>
      <c r="AG149" s="96">
        <f t="shared" si="19"/>
        <v>0.24515909054747453</v>
      </c>
      <c r="AH149">
        <v>14600</v>
      </c>
      <c r="AI149">
        <f t="shared" si="20"/>
        <v>96.545853821073052</v>
      </c>
      <c r="AJ149" s="37">
        <f t="shared" si="21"/>
        <v>8.054989794666767E-2</v>
      </c>
      <c r="AK149">
        <v>46</v>
      </c>
      <c r="AL149">
        <f>IFERROR(_xlfn.BINOM.DIST(AK149,Odds!$L$32,Odds!$L$33,FALSE),0)</f>
        <v>1.5743901883017104E-45</v>
      </c>
    </row>
    <row r="150" spans="5:38" x14ac:dyDescent="0.25">
      <c r="Y150" s="36">
        <v>14700</v>
      </c>
      <c r="Z150">
        <f t="shared" si="17"/>
        <v>99.981671021116384</v>
      </c>
      <c r="AA150">
        <f t="shared" si="22"/>
        <v>1.1048824223962583E-3</v>
      </c>
      <c r="AB150" s="95">
        <v>14700</v>
      </c>
      <c r="AC150">
        <f t="shared" si="16"/>
        <v>72.19626030770479</v>
      </c>
      <c r="AD150" s="96">
        <f t="shared" si="23"/>
        <v>0.24315763373199673</v>
      </c>
      <c r="AE150" s="95">
        <v>14700</v>
      </c>
      <c r="AF150">
        <f t="shared" si="18"/>
        <v>54.146149744877548</v>
      </c>
      <c r="AG150" s="96">
        <f t="shared" si="19"/>
        <v>0.24386217091969797</v>
      </c>
      <c r="AH150">
        <v>14700</v>
      </c>
      <c r="AI150">
        <f t="shared" si="20"/>
        <v>96.624568119602358</v>
      </c>
      <c r="AJ150" s="37">
        <f t="shared" si="21"/>
        <v>7.8714298529305893E-2</v>
      </c>
      <c r="AK150">
        <v>47</v>
      </c>
      <c r="AL150">
        <f>IFERROR(_xlfn.BINOM.DIST(AK150,Odds!$L$32,Odds!$L$33,FALSE),0)</f>
        <v>6.6700488754581869E-47</v>
      </c>
    </row>
    <row r="151" spans="5:38" x14ac:dyDescent="0.25">
      <c r="Y151" s="36">
        <v>14800</v>
      </c>
      <c r="Z151">
        <f t="shared" si="17"/>
        <v>99.982713087140723</v>
      </c>
      <c r="AA151">
        <f t="shared" si="22"/>
        <v>1.0420660243397606E-3</v>
      </c>
      <c r="AB151" s="95">
        <v>14800</v>
      </c>
      <c r="AC151">
        <f t="shared" si="16"/>
        <v>72.437309842485419</v>
      </c>
      <c r="AD151" s="96">
        <f t="shared" si="23"/>
        <v>0.24104953478062896</v>
      </c>
      <c r="AE151" s="95">
        <v>14800</v>
      </c>
      <c r="AF151">
        <f t="shared" si="18"/>
        <v>54.388721857022595</v>
      </c>
      <c r="AG151" s="96">
        <f t="shared" si="19"/>
        <v>0.24257211214504792</v>
      </c>
      <c r="AH151">
        <v>14800</v>
      </c>
      <c r="AI151">
        <f t="shared" si="20"/>
        <v>96.701488648999742</v>
      </c>
      <c r="AJ151" s="37">
        <f t="shared" si="21"/>
        <v>7.692052939738403E-2</v>
      </c>
      <c r="AK151">
        <v>48</v>
      </c>
      <c r="AL151">
        <f>IFERROR(_xlfn.BINOM.DIST(AK151,Odds!$L$32,Odds!$L$33,FALSE),0)</f>
        <v>2.766678188030755E-48</v>
      </c>
    </row>
    <row r="152" spans="5:38" x14ac:dyDescent="0.25">
      <c r="Y152" s="36">
        <v>14900</v>
      </c>
      <c r="Z152">
        <f t="shared" si="17"/>
        <v>99.983695908097133</v>
      </c>
      <c r="AA152">
        <f t="shared" si="22"/>
        <v>9.8282095640911393E-4</v>
      </c>
      <c r="AB152" s="95">
        <v>14900</v>
      </c>
      <c r="AC152">
        <f t="shared" si="16"/>
        <v>72.676269554858663</v>
      </c>
      <c r="AD152" s="96">
        <f t="shared" si="23"/>
        <v>0.23895971237324432</v>
      </c>
      <c r="AE152" s="95">
        <v>14900</v>
      </c>
      <c r="AF152">
        <f t="shared" si="18"/>
        <v>54.630010734951483</v>
      </c>
      <c r="AG152" s="96">
        <f t="shared" si="19"/>
        <v>0.24128887792888776</v>
      </c>
      <c r="AH152">
        <v>14900</v>
      </c>
      <c r="AI152">
        <f t="shared" si="20"/>
        <v>96.776656286307329</v>
      </c>
      <c r="AJ152" s="37">
        <f t="shared" si="21"/>
        <v>7.5167637307586688E-2</v>
      </c>
      <c r="AK152">
        <v>49</v>
      </c>
      <c r="AL152">
        <f>IFERROR(_xlfn.BINOM.DIST(AK152,Odds!$L$32,Odds!$L$33,FALSE),0)</f>
        <v>1.1240607846990506E-49</v>
      </c>
    </row>
    <row r="153" spans="5:38" x14ac:dyDescent="0.25">
      <c r="Y153" s="36">
        <v>15000</v>
      </c>
      <c r="Z153">
        <f t="shared" si="17"/>
        <v>99.984622852273191</v>
      </c>
      <c r="AA153">
        <f t="shared" si="22"/>
        <v>9.2694417605798662E-4</v>
      </c>
      <c r="AB153" s="95">
        <v>15000</v>
      </c>
      <c r="AC153">
        <f t="shared" si="16"/>
        <v>72.913157562916723</v>
      </c>
      <c r="AD153" s="96">
        <f t="shared" si="23"/>
        <v>0.23688800805805954</v>
      </c>
      <c r="AE153" s="95">
        <v>15000</v>
      </c>
      <c r="AF153">
        <f t="shared" si="18"/>
        <v>54.870023167119953</v>
      </c>
      <c r="AG153" s="96">
        <f t="shared" si="19"/>
        <v>0.24001243216847001</v>
      </c>
      <c r="AH153">
        <v>15000</v>
      </c>
      <c r="AI153">
        <f t="shared" si="20"/>
        <v>96.850110977046853</v>
      </c>
      <c r="AJ153" s="37">
        <f t="shared" si="21"/>
        <v>7.3454690739524153E-2</v>
      </c>
      <c r="AK153">
        <v>50</v>
      </c>
      <c r="AL153">
        <f>IFERROR(_xlfn.BINOM.DIST(AK153,Odds!$L$32,Odds!$L$33,FALSE),0)</f>
        <v>4.4751065687298827E-51</v>
      </c>
    </row>
    <row r="154" spans="5:38" x14ac:dyDescent="0.25">
      <c r="E154" t="s">
        <v>358</v>
      </c>
      <c r="Y154" s="36">
        <v>15100</v>
      </c>
      <c r="Z154">
        <f t="shared" si="17"/>
        <v>99.985497096457735</v>
      </c>
      <c r="AA154">
        <f t="shared" si="22"/>
        <v>8.7424418454418173E-4</v>
      </c>
      <c r="AB154" s="95">
        <v>15100</v>
      </c>
      <c r="AC154">
        <f t="shared" si="16"/>
        <v>73.147991827673721</v>
      </c>
      <c r="AD154" s="96">
        <f t="shared" si="23"/>
        <v>0.23483426475699787</v>
      </c>
      <c r="AE154" s="95">
        <v>15100</v>
      </c>
      <c r="AF154">
        <f t="shared" si="18"/>
        <v>55.108765906072101</v>
      </c>
      <c r="AG154" s="96">
        <f t="shared" si="19"/>
        <v>0.2387427389521477</v>
      </c>
      <c r="AH154">
        <v>15100</v>
      </c>
      <c r="AI154">
        <f t="shared" si="20"/>
        <v>96.921891756447451</v>
      </c>
      <c r="AJ154" s="37">
        <f t="shared" si="21"/>
        <v>7.1780779400597794E-2</v>
      </c>
      <c r="AK154">
        <v>51</v>
      </c>
      <c r="AL154">
        <f>IFERROR(_xlfn.BINOM.DIST(AK154,Odds!$L$32,Odds!$L$33,FALSE),0)</f>
        <v>1.7465183373483628E-52</v>
      </c>
    </row>
    <row r="155" spans="5:38" x14ac:dyDescent="0.25">
      <c r="E155" t="s">
        <v>359</v>
      </c>
      <c r="Y155" s="36">
        <v>15200</v>
      </c>
      <c r="Z155">
        <f t="shared" si="17"/>
        <v>99.986321636828009</v>
      </c>
      <c r="AA155">
        <f t="shared" si="22"/>
        <v>8.2454037027446248E-4</v>
      </c>
      <c r="AB155" s="95">
        <v>15200</v>
      </c>
      <c r="AC155">
        <f t="shared" si="16"/>
        <v>73.38079015442753</v>
      </c>
      <c r="AD155" s="96">
        <f t="shared" si="23"/>
        <v>0.23279832675380874</v>
      </c>
      <c r="AE155" s="95">
        <v>15200</v>
      </c>
      <c r="AF155">
        <f t="shared" si="18"/>
        <v>55.346245668630225</v>
      </c>
      <c r="AG155" s="96">
        <f t="shared" si="19"/>
        <v>0.23747976255812375</v>
      </c>
      <c r="AH155">
        <v>15200</v>
      </c>
      <c r="AI155">
        <f t="shared" si="20"/>
        <v>96.992036770189699</v>
      </c>
      <c r="AJ155" s="37">
        <f t="shared" si="21"/>
        <v>7.0145013742248352E-2</v>
      </c>
      <c r="AK155">
        <v>52</v>
      </c>
      <c r="AL155">
        <f>IFERROR(_xlfn.BINOM.DIST(AK155,Odds!$L$32,Odds!$L$33,FALSE),0)</f>
        <v>6.6844564829421702E-54</v>
      </c>
    </row>
    <row r="156" spans="5:38" x14ac:dyDescent="0.25">
      <c r="E156" t="s">
        <v>362</v>
      </c>
      <c r="Y156" s="36">
        <v>15300</v>
      </c>
      <c r="Z156">
        <f t="shared" si="17"/>
        <v>99.987099299218301</v>
      </c>
      <c r="AA156">
        <f t="shared" si="22"/>
        <v>7.7766239029131157E-4</v>
      </c>
      <c r="AB156" s="95">
        <v>15300</v>
      </c>
      <c r="AC156">
        <f t="shared" si="16"/>
        <v>73.611570194109802</v>
      </c>
      <c r="AD156" s="96">
        <f t="shared" si="23"/>
        <v>0.23078003968227279</v>
      </c>
      <c r="AE156" s="95">
        <v>15300</v>
      </c>
      <c r="AF156">
        <f t="shared" si="18"/>
        <v>55.582469136083887</v>
      </c>
      <c r="AG156" s="96">
        <f t="shared" si="19"/>
        <v>0.23622346745366229</v>
      </c>
      <c r="AH156">
        <v>15300</v>
      </c>
      <c r="AI156">
        <f t="shared" si="20"/>
        <v>97.060583294676988</v>
      </c>
      <c r="AJ156" s="37">
        <f t="shared" si="21"/>
        <v>6.8546524487288707E-2</v>
      </c>
      <c r="AK156">
        <v>53</v>
      </c>
      <c r="AL156">
        <f>IFERROR(_xlfn.BINOM.DIST(AK156,Odds!$L$32,Odds!$L$33,FALSE),0)</f>
        <v>2.5098217036731946E-55</v>
      </c>
    </row>
    <row r="157" spans="5:38" x14ac:dyDescent="0.25">
      <c r="E157" t="s">
        <v>360</v>
      </c>
      <c r="Y157" s="36">
        <v>15400</v>
      </c>
      <c r="Z157">
        <f t="shared" si="17"/>
        <v>99.987832748804337</v>
      </c>
      <c r="AA157">
        <f t="shared" si="22"/>
        <v>7.3344958603627219E-4</v>
      </c>
      <c r="AB157" s="95">
        <v>15400</v>
      </c>
      <c r="AC157">
        <f t="shared" si="16"/>
        <v>73.840349444624209</v>
      </c>
      <c r="AD157" s="96">
        <f t="shared" si="23"/>
        <v>0.22877925051440684</v>
      </c>
      <c r="AE157" s="95">
        <v>15400</v>
      </c>
      <c r="AF157">
        <f t="shared" si="18"/>
        <v>55.817442954377917</v>
      </c>
      <c r="AG157" s="96">
        <f t="shared" si="19"/>
        <v>0.23497381829402997</v>
      </c>
      <c r="AH157">
        <v>15400</v>
      </c>
      <c r="AI157">
        <f t="shared" si="20"/>
        <v>97.127567756844925</v>
      </c>
      <c r="AJ157" s="37">
        <f t="shared" si="21"/>
        <v>6.6984462167937409E-2</v>
      </c>
      <c r="AK157">
        <v>54</v>
      </c>
      <c r="AL157">
        <f>IFERROR(_xlfn.BINOM.DIST(AK157,Odds!$L$32,Odds!$L$33,FALSE),0)</f>
        <v>9.2482187127932152E-57</v>
      </c>
    </row>
    <row r="158" spans="5:38" x14ac:dyDescent="0.25">
      <c r="E158" t="s">
        <v>361</v>
      </c>
      <c r="Y158" s="36">
        <v>15500</v>
      </c>
      <c r="Z158">
        <f t="shared" si="17"/>
        <v>99.988524499237414</v>
      </c>
      <c r="AA158">
        <f t="shared" si="22"/>
        <v>6.9175043307723172E-4</v>
      </c>
      <c r="AB158" s="95">
        <v>15500</v>
      </c>
      <c r="AC158">
        <f t="shared" si="16"/>
        <v>74.067145252173233</v>
      </c>
      <c r="AD158" s="96">
        <f t="shared" si="23"/>
        <v>0.22679580754902418</v>
      </c>
      <c r="AE158" s="95">
        <v>15500</v>
      </c>
      <c r="AF158">
        <f t="shared" si="18"/>
        <v>56.05117373429924</v>
      </c>
      <c r="AG158" s="96">
        <f t="shared" si="19"/>
        <v>0.23373077992132352</v>
      </c>
      <c r="AH158">
        <v>15500</v>
      </c>
      <c r="AI158">
        <f t="shared" si="20"/>
        <v>97.193025753519279</v>
      </c>
      <c r="AJ158" s="37">
        <f t="shared" si="21"/>
        <v>6.5457996674354035E-2</v>
      </c>
      <c r="AK158">
        <v>55</v>
      </c>
      <c r="AL158">
        <f>IFERROR(_xlfn.BINOM.DIST(AK158,Odds!$L$32,Odds!$L$33,FALSE),0)</f>
        <v>3.345497583787316E-58</v>
      </c>
    </row>
    <row r="159" spans="5:38" x14ac:dyDescent="0.25">
      <c r="E159" t="s">
        <v>363</v>
      </c>
      <c r="Y159" s="36">
        <v>15600</v>
      </c>
      <c r="Z159">
        <f t="shared" si="17"/>
        <v>99.989176921259002</v>
      </c>
      <c r="AA159">
        <f t="shared" si="22"/>
        <v>6.52422021587995E-4</v>
      </c>
      <c r="AB159" s="95">
        <v>15600</v>
      </c>
      <c r="AC159">
        <f t="shared" si="16"/>
        <v>74.291974812573329</v>
      </c>
      <c r="AD159" s="96">
        <f t="shared" si="23"/>
        <v>0.22482956040009583</v>
      </c>
      <c r="AE159" s="95">
        <v>15600</v>
      </c>
      <c r="AF159">
        <f t="shared" si="18"/>
        <v>56.283668051663049</v>
      </c>
      <c r="AG159" s="96">
        <f t="shared" si="19"/>
        <v>0.23249431736380899</v>
      </c>
      <c r="AH159">
        <v>15600</v>
      </c>
      <c r="AI159">
        <f t="shared" si="20"/>
        <v>97.256992070332842</v>
      </c>
      <c r="AJ159" s="37">
        <f t="shared" si="21"/>
        <v>6.3966316813562685E-2</v>
      </c>
      <c r="AK159">
        <v>56</v>
      </c>
      <c r="AL159">
        <f>IFERROR(_xlfn.BINOM.DIST(AK159,Odds!$L$32,Odds!$L$33,FALSE),0)</f>
        <v>1.1884867498772781E-59</v>
      </c>
    </row>
    <row r="160" spans="5:38" x14ac:dyDescent="0.25">
      <c r="Y160" s="36">
        <v>15700</v>
      </c>
      <c r="Z160">
        <f t="shared" si="17"/>
        <v>99.989792250825715</v>
      </c>
      <c r="AA160">
        <f t="shared" si="22"/>
        <v>6.153295667132852E-4</v>
      </c>
      <c r="AB160" s="95">
        <v>15700</v>
      </c>
      <c r="AC160">
        <f t="shared" si="16"/>
        <v>74.514855172558697</v>
      </c>
      <c r="AD160" s="96">
        <f t="shared" si="23"/>
        <v>0.2228803599853677</v>
      </c>
      <c r="AE160" s="95">
        <v>15700</v>
      </c>
      <c r="AF160">
        <f t="shared" si="18"/>
        <v>56.514932447497678</v>
      </c>
      <c r="AG160" s="96">
        <f t="shared" si="19"/>
        <v>0.23126439583462854</v>
      </c>
      <c r="AH160">
        <v>15700</v>
      </c>
      <c r="AI160">
        <f t="shared" si="20"/>
        <v>97.319500700211137</v>
      </c>
      <c r="AJ160" s="37">
        <f t="shared" si="21"/>
        <v>6.2508629878294641E-2</v>
      </c>
      <c r="AK160">
        <v>57</v>
      </c>
      <c r="AL160">
        <f>IFERROR(_xlfn.BINOM.DIST(AK160,Odds!$L$32,Odds!$L$33,FALSE),0)</f>
        <v>4.1476057459842762E-61</v>
      </c>
    </row>
    <row r="161" spans="5:38" x14ac:dyDescent="0.25">
      <c r="Y161" s="36">
        <v>15800</v>
      </c>
      <c r="Z161">
        <f t="shared" si="17"/>
        <v>99.990372596772275</v>
      </c>
      <c r="AA161">
        <f t="shared" si="22"/>
        <v>5.8034594655964611E-4</v>
      </c>
      <c r="AB161" s="95">
        <v>15800</v>
      </c>
      <c r="AC161">
        <f t="shared" si="16"/>
        <v>74.735803231073788</v>
      </c>
      <c r="AD161" s="96">
        <f t="shared" si="23"/>
        <v>0.22094805851509136</v>
      </c>
      <c r="AE161" s="95">
        <v>15800</v>
      </c>
      <c r="AF161">
        <f t="shared" si="18"/>
        <v>56.744973428228683</v>
      </c>
      <c r="AG161" s="96">
        <f t="shared" si="19"/>
        <v>0.23004098073100465</v>
      </c>
      <c r="AH161">
        <v>15800</v>
      </c>
      <c r="AI161">
        <f t="shared" si="20"/>
        <v>97.380584861436986</v>
      </c>
      <c r="AJ161" s="37">
        <f t="shared" si="21"/>
        <v>6.1084161225849698E-2</v>
      </c>
      <c r="AK161">
        <v>58</v>
      </c>
      <c r="AL161">
        <f>IFERROR(_xlfn.BINOM.DIST(AK161,Odds!$L$32,Odds!$L$33,FALSE),0)</f>
        <v>1.4223411555525141E-62</v>
      </c>
    </row>
    <row r="162" spans="5:38" x14ac:dyDescent="0.25">
      <c r="E162" t="s">
        <v>364</v>
      </c>
      <c r="Y162" s="36">
        <v>15900</v>
      </c>
      <c r="Z162">
        <f t="shared" si="17"/>
        <v>99.990919948038808</v>
      </c>
      <c r="AA162">
        <f t="shared" si="22"/>
        <v>5.4735126653326915E-4</v>
      </c>
      <c r="AB162" s="95">
        <v>15900</v>
      </c>
      <c r="AC162">
        <f t="shared" si="16"/>
        <v>74.954835740554643</v>
      </c>
      <c r="AD162" s="96">
        <f t="shared" si="23"/>
        <v>0.21903250948085429</v>
      </c>
      <c r="AE162" s="95">
        <v>15900</v>
      </c>
      <c r="AF162">
        <f t="shared" si="18"/>
        <v>56.973797465861885</v>
      </c>
      <c r="AG162" s="96">
        <f t="shared" si="19"/>
        <v>0.22882403763320269</v>
      </c>
      <c r="AH162">
        <v>15900</v>
      </c>
      <c r="AI162">
        <f t="shared" si="20"/>
        <v>97.440277015303252</v>
      </c>
      <c r="AJ162" s="37">
        <f t="shared" si="21"/>
        <v>5.9692153866265585E-2</v>
      </c>
      <c r="AK162">
        <v>59</v>
      </c>
      <c r="AL162">
        <f>IFERROR(_xlfn.BINOM.DIST(AK162,Odds!$L$32,Odds!$L$33,FALSE),0)</f>
        <v>4.7944896669174811E-64</v>
      </c>
    </row>
    <row r="163" spans="5:38" x14ac:dyDescent="0.25">
      <c r="E163" t="s">
        <v>365</v>
      </c>
      <c r="Y163" s="36">
        <v>16000</v>
      </c>
      <c r="Z163">
        <f t="shared" si="17"/>
        <v>99.991436180487327</v>
      </c>
      <c r="AA163">
        <f t="shared" si="22"/>
        <v>5.1623244851839445E-4</v>
      </c>
      <c r="AB163" s="95">
        <v>16000</v>
      </c>
      <c r="AC163">
        <f t="shared" si="16"/>
        <v>75.171969308199024</v>
      </c>
      <c r="AD163" s="96">
        <f t="shared" si="23"/>
        <v>0.21713356764438174</v>
      </c>
      <c r="AE163" s="95">
        <v>16000</v>
      </c>
      <c r="AF163">
        <f t="shared" si="18"/>
        <v>57.201410998165436</v>
      </c>
      <c r="AG163" s="96">
        <f t="shared" si="19"/>
        <v>0.22761353230355041</v>
      </c>
      <c r="AH163">
        <v>16000</v>
      </c>
      <c r="AI163">
        <f t="shared" si="20"/>
        <v>97.498608883363431</v>
      </c>
      <c r="AJ163" s="37">
        <f t="shared" si="21"/>
        <v>5.8331868060179204E-2</v>
      </c>
      <c r="AK163">
        <v>60</v>
      </c>
      <c r="AL163">
        <f>IFERROR(_xlfn.BINOM.DIST(AK163,Odds!$L$32,Odds!$L$33,FALSE),0)</f>
        <v>1.5890518696682036E-65</v>
      </c>
    </row>
    <row r="164" spans="5:38" x14ac:dyDescent="0.25">
      <c r="E164" t="s">
        <v>366</v>
      </c>
      <c r="Y164" s="36">
        <v>16100</v>
      </c>
      <c r="Z164">
        <f t="shared" si="17"/>
        <v>99.991923063330574</v>
      </c>
      <c r="AA164">
        <f t="shared" si="22"/>
        <v>4.8688284324782671E-4</v>
      </c>
      <c r="AB164" s="95">
        <v>16100</v>
      </c>
      <c r="AC164">
        <f t="shared" si="16"/>
        <v>75.38722039722559</v>
      </c>
      <c r="AD164" s="96">
        <f t="shared" si="23"/>
        <v>0.21525108902656598</v>
      </c>
      <c r="AE164" s="95">
        <v>16100</v>
      </c>
      <c r="AF164">
        <f t="shared" si="18"/>
        <v>57.427820428850993</v>
      </c>
      <c r="AG164" s="96">
        <f t="shared" si="19"/>
        <v>0.22640943068555686</v>
      </c>
      <c r="AH164">
        <v>16100</v>
      </c>
      <c r="AI164">
        <f t="shared" si="20"/>
        <v>97.555611464289143</v>
      </c>
      <c r="AJ164" s="37">
        <f t="shared" si="21"/>
        <v>5.7002580925711754E-2</v>
      </c>
      <c r="AK164">
        <v>61</v>
      </c>
      <c r="AL164">
        <f>IFERROR(_xlfn.BINOM.DIST(AK164,Odds!$L$32,Odds!$L$33,FALSE),0)</f>
        <v>5.1797820496890791E-67</v>
      </c>
    </row>
    <row r="165" spans="5:38" x14ac:dyDescent="0.25">
      <c r="E165" t="s">
        <v>367</v>
      </c>
      <c r="Y165" s="36">
        <v>16200</v>
      </c>
      <c r="Z165">
        <f t="shared" si="17"/>
        <v>99.992382265195417</v>
      </c>
      <c r="AA165">
        <f t="shared" si="22"/>
        <v>4.5920186484238457E-4</v>
      </c>
      <c r="AB165" s="95">
        <v>16200</v>
      </c>
      <c r="AC165">
        <f t="shared" si="16"/>
        <v>75.600605328122185</v>
      </c>
      <c r="AD165" s="96">
        <f t="shared" si="23"/>
        <v>0.21338493089659494</v>
      </c>
      <c r="AE165" s="95">
        <v>16200</v>
      </c>
      <c r="AF165">
        <f t="shared" si="18"/>
        <v>57.653032127753825</v>
      </c>
      <c r="AG165" s="96">
        <f t="shared" si="19"/>
        <v>0.22521169890283232</v>
      </c>
      <c r="AH165">
        <v>16200</v>
      </c>
      <c r="AI165">
        <f t="shared" si="20"/>
        <v>97.611315050343322</v>
      </c>
      <c r="AJ165" s="37">
        <f t="shared" si="21"/>
        <v>5.57035860541788E-2</v>
      </c>
      <c r="AK165">
        <v>62</v>
      </c>
      <c r="AL165">
        <f>IFERROR(_xlfn.BINOM.DIST(AK165,Odds!$L$32,Odds!$L$33,FALSE),0)</f>
        <v>1.6610371684615017E-68</v>
      </c>
    </row>
    <row r="166" spans="5:38" x14ac:dyDescent="0.25">
      <c r="E166" t="s">
        <v>368</v>
      </c>
      <c r="Y166" s="36">
        <v>16300</v>
      </c>
      <c r="Z166">
        <f t="shared" si="17"/>
        <v>99.992815359841487</v>
      </c>
      <c r="AA166">
        <f t="shared" si="22"/>
        <v>4.3309464606977599E-4</v>
      </c>
      <c r="AB166" s="95">
        <v>16300</v>
      </c>
      <c r="AC166">
        <f t="shared" si="16"/>
        <v>75.812140279883181</v>
      </c>
      <c r="AD166" s="96">
        <f t="shared" si="23"/>
        <v>0.21153495176099568</v>
      </c>
      <c r="AE166" s="95">
        <v>16300</v>
      </c>
      <c r="AF166">
        <f t="shared" si="18"/>
        <v>57.877052431012046</v>
      </c>
      <c r="AG166" s="96">
        <f t="shared" si="19"/>
        <v>0.22402030325822153</v>
      </c>
      <c r="AH166">
        <v>16300</v>
      </c>
      <c r="AI166">
        <f t="shared" si="20"/>
        <v>97.665749243478189</v>
      </c>
      <c r="AJ166" s="37">
        <f t="shared" si="21"/>
        <v>5.443419313486686E-2</v>
      </c>
      <c r="AK166">
        <v>63</v>
      </c>
      <c r="AL166">
        <f>IFERROR(_xlfn.BINOM.DIST(AK166,Odds!$L$32,Odds!$L$33,FALSE),0)</f>
        <v>5.2414887358966438E-70</v>
      </c>
    </row>
    <row r="167" spans="5:38" x14ac:dyDescent="0.25">
      <c r="E167" t="s">
        <v>369</v>
      </c>
      <c r="Y167" s="36">
        <v>16400</v>
      </c>
      <c r="Z167">
        <f t="shared" si="17"/>
        <v>99.993223831554701</v>
      </c>
      <c r="AA167">
        <f t="shared" si="22"/>
        <v>4.084717132144533E-4</v>
      </c>
      <c r="AB167" s="95">
        <v>16400</v>
      </c>
      <c r="AC167">
        <f t="shared" si="16"/>
        <v>76.021841291236299</v>
      </c>
      <c r="AD167" s="96">
        <f t="shared" si="23"/>
        <v>0.20970101135311836</v>
      </c>
      <c r="AE167" s="95">
        <v>16400</v>
      </c>
      <c r="AF167">
        <f t="shared" si="18"/>
        <v>58.099887641244862</v>
      </c>
      <c r="AG167" s="96">
        <f t="shared" si="19"/>
        <v>0.22283521023281594</v>
      </c>
      <c r="AH167">
        <v>16400</v>
      </c>
      <c r="AI167">
        <f t="shared" si="20"/>
        <v>97.718942971066241</v>
      </c>
      <c r="AJ167" s="37">
        <f t="shared" si="21"/>
        <v>5.3193727588052298E-2</v>
      </c>
      <c r="AK167">
        <v>64</v>
      </c>
      <c r="AL167">
        <f>IFERROR(_xlfn.BINOM.DIST(AK167,Odds!$L$32,Odds!$L$33,FALSE),0)</f>
        <v>1.6279716433475444E-71</v>
      </c>
    </row>
    <row r="168" spans="5:38" x14ac:dyDescent="0.25">
      <c r="Y168" s="36">
        <v>16500</v>
      </c>
      <c r="Z168">
        <f t="shared" si="17"/>
        <v>99.993609080234236</v>
      </c>
      <c r="AA168">
        <f t="shared" si="22"/>
        <v>3.8524867953526609E-4</v>
      </c>
      <c r="AB168" s="95">
        <v>16500</v>
      </c>
      <c r="AC168">
        <f t="shared" si="16"/>
        <v>76.229724261858607</v>
      </c>
      <c r="AD168" s="96">
        <f t="shared" si="23"/>
        <v>0.20788297062230754</v>
      </c>
      <c r="AE168" s="95">
        <v>16500</v>
      </c>
      <c r="AF168">
        <f t="shared" si="18"/>
        <v>58.321544027729942</v>
      </c>
      <c r="AG168" s="96">
        <f t="shared" si="19"/>
        <v>0.22165638648507979</v>
      </c>
      <c r="AH168">
        <v>16500</v>
      </c>
      <c r="AI168">
        <f t="shared" si="20"/>
        <v>97.770924501272845</v>
      </c>
      <c r="AJ168" s="37">
        <f t="shared" si="21"/>
        <v>5.1981530206603566E-2</v>
      </c>
      <c r="AK168">
        <v>65</v>
      </c>
      <c r="AL168">
        <f>IFERROR(_xlfn.BINOM.DIST(AK168,Odds!$L$32,Odds!$L$33,FALSE),0)</f>
        <v>4.9780806156003035E-73</v>
      </c>
    </row>
    <row r="169" spans="5:38" x14ac:dyDescent="0.25">
      <c r="Y169" s="36">
        <v>16600</v>
      </c>
      <c r="Z169">
        <f t="shared" si="17"/>
        <v>99.993972426190084</v>
      </c>
      <c r="AA169">
        <f t="shared" si="22"/>
        <v>3.6334595584719409E-4</v>
      </c>
      <c r="AB169" s="95">
        <v>16600</v>
      </c>
      <c r="AC169">
        <f t="shared" si="16"/>
        <v>76.435804953582036</v>
      </c>
      <c r="AD169" s="96">
        <f t="shared" si="23"/>
        <v>0.2060806917234288</v>
      </c>
      <c r="AE169" s="95">
        <v>16600</v>
      </c>
      <c r="AF169">
        <f t="shared" si="18"/>
        <v>58.542027826579712</v>
      </c>
      <c r="AG169" s="96">
        <f t="shared" si="19"/>
        <v>0.2204837988497701</v>
      </c>
      <c r="AH169">
        <v>16600</v>
      </c>
      <c r="AI169">
        <f t="shared" si="20"/>
        <v>97.821721458078443</v>
      </c>
      <c r="AJ169" s="37">
        <f t="shared" si="21"/>
        <v>5.079695680559837E-2</v>
      </c>
      <c r="AK169">
        <v>66</v>
      </c>
      <c r="AL169">
        <f>IFERROR(_xlfn.BINOM.DIST(AK169,Odds!$L$32,Odds!$L$33,FALSE),0)</f>
        <v>1.4990037679047312E-74</v>
      </c>
    </row>
    <row r="170" spans="5:38" x14ac:dyDescent="0.25">
      <c r="E170" t="s">
        <v>370</v>
      </c>
      <c r="Y170" s="36">
        <v>16700</v>
      </c>
      <c r="Z170">
        <f t="shared" si="17"/>
        <v>99.994315114668055</v>
      </c>
      <c r="AA170">
        <f t="shared" si="22"/>
        <v>3.4268847797136459E-4</v>
      </c>
      <c r="AB170" s="95">
        <v>16700</v>
      </c>
      <c r="AC170">
        <f t="shared" si="16"/>
        <v>76.640098991588474</v>
      </c>
      <c r="AD170" s="96">
        <f t="shared" si="23"/>
        <v>0.20429403800643797</v>
      </c>
      <c r="AE170" s="95">
        <v>16700</v>
      </c>
      <c r="AF170">
        <f t="shared" si="18"/>
        <v>58.761345240916896</v>
      </c>
      <c r="AG170" s="96">
        <f t="shared" si="19"/>
        <v>0.21931741433718344</v>
      </c>
      <c r="AH170">
        <v>16700</v>
      </c>
      <c r="AI170">
        <f t="shared" si="20"/>
        <v>97.871360835958527</v>
      </c>
      <c r="AJ170" s="37">
        <f t="shared" si="21"/>
        <v>4.9639377880083657E-2</v>
      </c>
      <c r="AK170">
        <v>67</v>
      </c>
      <c r="AL170">
        <f>IFERROR(_xlfn.BINOM.DIST(AK170,Odds!$L$32,Odds!$L$33,FALSE),0)</f>
        <v>4.4459947005419017E-76</v>
      </c>
    </row>
    <row r="171" spans="5:38" x14ac:dyDescent="0.25">
      <c r="E171" t="s">
        <v>371</v>
      </c>
      <c r="Y171" s="36">
        <v>16800</v>
      </c>
      <c r="Z171">
        <f t="shared" si="17"/>
        <v>99.994638320117431</v>
      </c>
      <c r="AA171">
        <f t="shared" si="22"/>
        <v>3.2320544937647355E-4</v>
      </c>
      <c r="AB171" s="95">
        <v>16800</v>
      </c>
      <c r="AC171">
        <f t="shared" si="16"/>
        <v>76.842621865594509</v>
      </c>
      <c r="AD171" s="96">
        <f t="shared" si="23"/>
        <v>0.20252287400603564</v>
      </c>
      <c r="AE171" s="95">
        <v>16800</v>
      </c>
      <c r="AF171">
        <f t="shared" si="18"/>
        <v>58.979502441048936</v>
      </c>
      <c r="AG171" s="96">
        <f t="shared" si="19"/>
        <v>0.21815720013204043</v>
      </c>
      <c r="AH171">
        <v>16800</v>
      </c>
      <c r="AI171">
        <f t="shared" si="20"/>
        <v>97.919869014228965</v>
      </c>
      <c r="AJ171" s="37">
        <f t="shared" si="21"/>
        <v>4.8508178270438407E-2</v>
      </c>
      <c r="AK171">
        <v>68</v>
      </c>
      <c r="AL171">
        <f>IFERROR(_xlfn.BINOM.DIST(AK171,Odds!$L$32,Odds!$L$33,FALSE),0)</f>
        <v>1.2991441041291537E-77</v>
      </c>
    </row>
    <row r="172" spans="5:38" x14ac:dyDescent="0.25">
      <c r="E172" t="s">
        <v>372</v>
      </c>
      <c r="Y172" s="36">
        <v>16900</v>
      </c>
      <c r="Z172">
        <f t="shared" si="17"/>
        <v>99.99494315021596</v>
      </c>
      <c r="AA172">
        <f t="shared" si="22"/>
        <v>3.0483009852844134E-4</v>
      </c>
      <c r="AB172" s="95">
        <v>16900</v>
      </c>
      <c r="AC172">
        <f t="shared" si="16"/>
        <v>77.043388931025802</v>
      </c>
      <c r="AD172" s="96">
        <f t="shared" si="23"/>
        <v>0.20076706543129319</v>
      </c>
      <c r="AE172" s="95">
        <v>16900</v>
      </c>
      <c r="AF172">
        <f t="shared" si="18"/>
        <v>59.19650556464169</v>
      </c>
      <c r="AG172" s="96">
        <f t="shared" si="19"/>
        <v>0.21700312359275387</v>
      </c>
      <c r="AH172">
        <v>16900</v>
      </c>
      <c r="AI172">
        <f t="shared" si="20"/>
        <v>97.967271771064503</v>
      </c>
      <c r="AJ172" s="37">
        <f t="shared" si="21"/>
        <v>4.7402756835538185E-2</v>
      </c>
      <c r="AK172">
        <v>69</v>
      </c>
      <c r="AL172">
        <f>IFERROR(_xlfn.BINOM.DIST(AK172,Odds!$L$32,Odds!$L$33,FALSE),0)</f>
        <v>3.7407769212423187E-79</v>
      </c>
    </row>
    <row r="173" spans="5:38" x14ac:dyDescent="0.25">
      <c r="E173" t="s">
        <v>373</v>
      </c>
      <c r="Y173" s="36">
        <v>17000</v>
      </c>
      <c r="Z173">
        <f t="shared" si="17"/>
        <v>99.99523064966607</v>
      </c>
      <c r="AA173">
        <f t="shared" si="22"/>
        <v>2.8749945010986266E-4</v>
      </c>
      <c r="AB173" s="95">
        <v>17000</v>
      </c>
      <c r="AC173">
        <f t="shared" si="16"/>
        <v>77.24241541018138</v>
      </c>
      <c r="AD173" s="96">
        <f t="shared" si="23"/>
        <v>0.19902647915557736</v>
      </c>
      <c r="AE173" s="95">
        <v>17000</v>
      </c>
      <c r="AF173">
        <f t="shared" si="18"/>
        <v>59.412360716892024</v>
      </c>
      <c r="AG173" s="96">
        <f t="shared" si="19"/>
        <v>0.21585515225033447</v>
      </c>
      <c r="AH173">
        <v>17000</v>
      </c>
      <c r="AI173">
        <f t="shared" si="20"/>
        <v>98.013594297197741</v>
      </c>
      <c r="AJ173" s="37">
        <f t="shared" si="21"/>
        <v>4.6322526133238284E-2</v>
      </c>
      <c r="AK173">
        <v>70</v>
      </c>
      <c r="AL173">
        <f>IFERROR(_xlfn.BINOM.DIST(AK173,Odds!$L$32,Odds!$L$33,FALSE),0)</f>
        <v>1.0616310577789349E-80</v>
      </c>
    </row>
    <row r="174" spans="5:38" x14ac:dyDescent="0.25">
      <c r="E174" t="s">
        <v>374</v>
      </c>
      <c r="Y174" s="36">
        <v>17100</v>
      </c>
      <c r="Z174">
        <f t="shared" si="17"/>
        <v>99.995501803775241</v>
      </c>
      <c r="AA174">
        <f t="shared" si="22"/>
        <v>2.7115410917133431E-4</v>
      </c>
      <c r="AB174" s="95">
        <v>17100</v>
      </c>
      <c r="AC174">
        <f t="shared" si="16"/>
        <v>77.439716393387855</v>
      </c>
      <c r="AD174" s="96">
        <f t="shared" si="23"/>
        <v>0.19730098320647471</v>
      </c>
      <c r="AE174" s="95">
        <v>17100</v>
      </c>
      <c r="AF174">
        <f t="shared" si="18"/>
        <v>59.627073970699662</v>
      </c>
      <c r="AG174" s="96">
        <f t="shared" si="19"/>
        <v>0.21471325380763773</v>
      </c>
      <c r="AH174">
        <v>17100</v>
      </c>
      <c r="AI174">
        <f t="shared" si="20"/>
        <v>98.058861209306045</v>
      </c>
      <c r="AJ174" s="37">
        <f t="shared" si="21"/>
        <v>4.5266912108303359E-2</v>
      </c>
      <c r="AK174">
        <v>71</v>
      </c>
      <c r="AL174">
        <f>IFERROR(_xlfn.BINOM.DIST(AK174,Odds!$L$32,Odds!$L$33,FALSE),0)</f>
        <v>2.9701704858562824E-82</v>
      </c>
    </row>
    <row r="175" spans="5:38" x14ac:dyDescent="0.25">
      <c r="E175" t="s">
        <v>375</v>
      </c>
      <c r="Y175" s="36">
        <v>17200</v>
      </c>
      <c r="Z175">
        <f t="shared" si="17"/>
        <v>99.995757541832802</v>
      </c>
      <c r="AA175">
        <f t="shared" si="22"/>
        <v>2.5573805756096135E-4</v>
      </c>
      <c r="AB175" s="95">
        <v>17200</v>
      </c>
      <c r="AC175">
        <f t="shared" si="16"/>
        <v>77.635306840143485</v>
      </c>
      <c r="AD175" s="96">
        <f t="shared" si="23"/>
        <v>0.19559044675563086</v>
      </c>
      <c r="AE175" s="95">
        <v>17200</v>
      </c>
      <c r="AF175">
        <f t="shared" si="18"/>
        <v>59.840651366837925</v>
      </c>
      <c r="AG175" s="96">
        <f t="shared" si="19"/>
        <v>0.21357739613826254</v>
      </c>
      <c r="AH175">
        <v>17200</v>
      </c>
      <c r="AI175">
        <f t="shared" si="20"/>
        <v>98.103096563093246</v>
      </c>
      <c r="AJ175" s="37">
        <f t="shared" si="21"/>
        <v>4.4235353787200893E-2</v>
      </c>
      <c r="AK175">
        <v>72</v>
      </c>
      <c r="AL175">
        <f>IFERROR(_xlfn.BINOM.DIST(AK175,Odds!$L$32,Odds!$L$33,FALSE),0)</f>
        <v>8.1935339162463879E-84</v>
      </c>
    </row>
    <row r="176" spans="5:38" x14ac:dyDescent="0.25">
      <c r="Y176" s="36">
        <v>17300</v>
      </c>
      <c r="Z176">
        <f t="shared" si="17"/>
        <v>99.995998740294738</v>
      </c>
      <c r="AA176">
        <f t="shared" si="22"/>
        <v>2.4119846193570993E-4</v>
      </c>
      <c r="AB176" s="95">
        <v>17300</v>
      </c>
      <c r="AC176">
        <f t="shared" si="16"/>
        <v>77.829201580252445</v>
      </c>
      <c r="AD176" s="96">
        <f t="shared" si="23"/>
        <v>0.19389474010895924</v>
      </c>
      <c r="AE176" s="95">
        <v>17300</v>
      </c>
      <c r="AF176">
        <f t="shared" si="18"/>
        <v>60.053098914123822</v>
      </c>
      <c r="AG176" s="96">
        <f t="shared" si="19"/>
        <v>0.21244754728589754</v>
      </c>
      <c r="AH176">
        <v>17300</v>
      </c>
      <c r="AI176">
        <f t="shared" si="20"/>
        <v>98.146323866073331</v>
      </c>
      <c r="AJ176" s="37">
        <f t="shared" si="21"/>
        <v>4.3227302980085369E-2</v>
      </c>
      <c r="AK176">
        <v>73</v>
      </c>
      <c r="AL176">
        <f>IFERROR(_xlfn.BINOM.DIST(AK176,Odds!$L$32,Odds!$L$33,FALSE),0)</f>
        <v>2.229087042627548E-85</v>
      </c>
    </row>
    <row r="177" spans="5:38" x14ac:dyDescent="0.25">
      <c r="Y177" s="36">
        <v>17400</v>
      </c>
      <c r="Z177">
        <f t="shared" si="17"/>
        <v>99.99622622578751</v>
      </c>
      <c r="AA177">
        <f t="shared" si="22"/>
        <v>2.2748549277196162E-4</v>
      </c>
      <c r="AB177" s="95">
        <v>17400</v>
      </c>
      <c r="AC177">
        <f t="shared" si="16"/>
        <v>78.021415314949294</v>
      </c>
      <c r="AD177" s="96">
        <f t="shared" si="23"/>
        <v>0.19221373469684977</v>
      </c>
      <c r="AE177" s="95">
        <v>17400</v>
      </c>
      <c r="AF177">
        <f t="shared" si="18"/>
        <v>60.264422589586999</v>
      </c>
      <c r="AG177" s="96">
        <f t="shared" si="19"/>
        <v>0.2113236754631771</v>
      </c>
      <c r="AH177">
        <v>17400</v>
      </c>
      <c r="AI177">
        <f t="shared" si="20"/>
        <v>98.188566090062793</v>
      </c>
      <c r="AJ177" s="37">
        <f t="shared" si="21"/>
        <v>4.2242223989461536E-2</v>
      </c>
      <c r="AK177">
        <v>74</v>
      </c>
      <c r="AL177">
        <f>IFERROR(_xlfn.BINOM.DIST(AK177,Odds!$L$32,Odds!$L$33,FALSE),0)</f>
        <v>5.9817766451030467E-87</v>
      </c>
    </row>
    <row r="178" spans="5:38" x14ac:dyDescent="0.25">
      <c r="Y178" s="36">
        <v>17500</v>
      </c>
      <c r="Z178">
        <f t="shared" si="17"/>
        <v>99.996440777940975</v>
      </c>
      <c r="AA178">
        <f t="shared" si="22"/>
        <v>2.1455215346577461E-4</v>
      </c>
      <c r="AB178" s="95">
        <v>17500</v>
      </c>
      <c r="AC178">
        <f t="shared" si="16"/>
        <v>78.211962618013573</v>
      </c>
      <c r="AD178" s="96">
        <f t="shared" si="23"/>
        <v>0.19054730306427814</v>
      </c>
      <c r="AE178" s="95">
        <v>17500</v>
      </c>
      <c r="AF178">
        <f t="shared" si="18"/>
        <v>60.474628338637928</v>
      </c>
      <c r="AG178" s="96">
        <f t="shared" si="19"/>
        <v>0.21020574905092815</v>
      </c>
      <c r="AH178">
        <v>17500</v>
      </c>
      <c r="AI178">
        <f t="shared" si="20"/>
        <v>98.229845683388277</v>
      </c>
      <c r="AJ178" s="37">
        <f t="shared" si="21"/>
        <v>4.1279593325484143E-2</v>
      </c>
      <c r="AK178">
        <v>75</v>
      </c>
      <c r="AL178">
        <f>IFERROR(_xlfn.BINOM.DIST(AK178,Odds!$L$32,Odds!$L$33,FALSE),0)</f>
        <v>1.5836531300737533E-88</v>
      </c>
    </row>
    <row r="179" spans="5:38" x14ac:dyDescent="0.25">
      <c r="Y179" s="36">
        <v>17600</v>
      </c>
      <c r="Z179">
        <f t="shared" si="17"/>
        <v>99.996643132060342</v>
      </c>
      <c r="AA179">
        <f t="shared" si="22"/>
        <v>2.0235411936653236E-4</v>
      </c>
      <c r="AB179" s="95">
        <v>17600</v>
      </c>
      <c r="AC179">
        <f t="shared" si="16"/>
        <v>78.400857936874814</v>
      </c>
      <c r="AD179" s="96">
        <f t="shared" si="23"/>
        <v>0.18889531886124189</v>
      </c>
      <c r="AE179" s="95">
        <v>17600</v>
      </c>
      <c r="AF179">
        <f t="shared" si="18"/>
        <v>60.683722075235202</v>
      </c>
      <c r="AG179" s="96">
        <f t="shared" si="19"/>
        <v>0.20909373659727493</v>
      </c>
      <c r="AH179">
        <v>17600</v>
      </c>
      <c r="AI179">
        <f t="shared" si="20"/>
        <v>98.270184582816114</v>
      </c>
      <c r="AJ179" s="37">
        <f t="shared" si="21"/>
        <v>4.0338899427837305E-2</v>
      </c>
      <c r="AK179">
        <v>76</v>
      </c>
      <c r="AL179">
        <f>IFERROR(_xlfn.BINOM.DIST(AK179,Odds!$L$32,Odds!$L$33,FALSE),0)</f>
        <v>4.13707934112675E-90</v>
      </c>
    </row>
    <row r="180" spans="5:38" x14ac:dyDescent="0.25">
      <c r="E180" t="s">
        <v>376</v>
      </c>
      <c r="Y180" s="36">
        <v>17700</v>
      </c>
      <c r="Z180">
        <f t="shared" si="17"/>
        <v>99.996833981646134</v>
      </c>
      <c r="AA180">
        <f t="shared" si="22"/>
        <v>1.9084958579185241E-4</v>
      </c>
      <c r="AB180" s="95">
        <v>17700</v>
      </c>
      <c r="AC180">
        <f t="shared" si="16"/>
        <v>78.588115593707926</v>
      </c>
      <c r="AD180" s="96">
        <f t="shared" si="23"/>
        <v>0.18725765683311124</v>
      </c>
      <c r="AE180" s="95">
        <v>17700</v>
      </c>
      <c r="AF180">
        <f t="shared" si="18"/>
        <v>60.89170968205184</v>
      </c>
      <c r="AG180" s="96">
        <f t="shared" si="19"/>
        <v>0.20798760681663708</v>
      </c>
      <c r="AH180">
        <v>17700</v>
      </c>
      <c r="AI180">
        <f t="shared" si="20"/>
        <v>98.309604225209796</v>
      </c>
      <c r="AJ180" s="37">
        <f t="shared" si="21"/>
        <v>3.9419642393681897E-2</v>
      </c>
      <c r="AK180">
        <v>77</v>
      </c>
      <c r="AL180">
        <f>IFERROR(_xlfn.BINOM.DIST(AK180,Odds!$L$32,Odds!$L$33,FALSE),0)</f>
        <v>1.0666126830909002E-91</v>
      </c>
    </row>
    <row r="181" spans="5:38" x14ac:dyDescent="0.25">
      <c r="E181" t="s">
        <v>377</v>
      </c>
      <c r="Y181" s="36">
        <v>17800</v>
      </c>
      <c r="Z181">
        <f t="shared" si="17"/>
        <v>99.997013980771015</v>
      </c>
      <c r="AA181">
        <f t="shared" si="22"/>
        <v>1.7999912488164682E-4</v>
      </c>
      <c r="AB181" s="95">
        <v>17800</v>
      </c>
      <c r="AC181">
        <f t="shared" si="16"/>
        <v>78.773749786519176</v>
      </c>
      <c r="AD181" s="96">
        <f t="shared" si="23"/>
        <v>0.18563419281124993</v>
      </c>
      <c r="AE181" s="95">
        <v>17800</v>
      </c>
      <c r="AF181">
        <f t="shared" si="18"/>
        <v>61.098597010640944</v>
      </c>
      <c r="AG181" s="96">
        <f t="shared" si="19"/>
        <v>0.20688732858910441</v>
      </c>
      <c r="AH181">
        <v>17800</v>
      </c>
      <c r="AI181">
        <f t="shared" si="20"/>
        <v>98.348125558922106</v>
      </c>
      <c r="AJ181" s="37">
        <f t="shared" si="21"/>
        <v>3.8521333712310479E-2</v>
      </c>
      <c r="AK181">
        <v>78</v>
      </c>
      <c r="AL181">
        <f>IFERROR(_xlfn.BINOM.DIST(AK181,Odds!$L$32,Odds!$L$33,FALSE),0)</f>
        <v>2.7143884300736034E-93</v>
      </c>
    </row>
    <row r="182" spans="5:38" x14ac:dyDescent="0.25">
      <c r="E182" t="s">
        <v>378</v>
      </c>
      <c r="Y182" s="36">
        <v>17900</v>
      </c>
      <c r="Z182">
        <f t="shared" si="17"/>
        <v>99.997183746321312</v>
      </c>
      <c r="AA182">
        <f t="shared" si="22"/>
        <v>1.6976555029657447E-4</v>
      </c>
      <c r="AB182" s="95">
        <v>17900</v>
      </c>
      <c r="AC182">
        <f t="shared" si="16"/>
        <v>78.957774590222641</v>
      </c>
      <c r="AD182" s="96">
        <f t="shared" si="23"/>
        <v>0.18402480370346552</v>
      </c>
      <c r="AE182" s="95">
        <v>17900</v>
      </c>
      <c r="AF182">
        <f t="shared" si="18"/>
        <v>61.304389881600144</v>
      </c>
      <c r="AG182" s="96">
        <f t="shared" si="19"/>
        <v>0.20579287095920051</v>
      </c>
      <c r="AH182">
        <v>17900</v>
      </c>
      <c r="AI182">
        <f t="shared" si="20"/>
        <v>98.385769054927337</v>
      </c>
      <c r="AJ182" s="37">
        <f t="shared" si="21"/>
        <v>3.7643496005230759E-2</v>
      </c>
      <c r="AK182">
        <v>79</v>
      </c>
      <c r="AL182">
        <f>IFERROR(_xlfn.BINOM.DIST(AK182,Odds!$L$32,Odds!$L$33,FALSE),0)</f>
        <v>6.8196327881248728E-95</v>
      </c>
    </row>
    <row r="183" spans="5:38" x14ac:dyDescent="0.25">
      <c r="E183" t="s">
        <v>379</v>
      </c>
      <c r="Y183" s="36">
        <v>18000</v>
      </c>
      <c r="Z183">
        <f t="shared" si="17"/>
        <v>99.997343860111243</v>
      </c>
      <c r="AA183">
        <f t="shared" si="22"/>
        <v>1.6011378993141534E-4</v>
      </c>
      <c r="AB183" s="95">
        <v>18000</v>
      </c>
      <c r="AC183">
        <f t="shared" si="16"/>
        <v>79.140203957707371</v>
      </c>
      <c r="AD183" s="96">
        <f t="shared" si="23"/>
        <v>0.18242936748472971</v>
      </c>
      <c r="AE183" s="95">
        <v>18000</v>
      </c>
      <c r="AF183">
        <f t="shared" si="18"/>
        <v>61.509094084735473</v>
      </c>
      <c r="AG183" s="96">
        <f t="shared" si="19"/>
        <v>0.20470420313532856</v>
      </c>
      <c r="AH183">
        <v>18000</v>
      </c>
      <c r="AI183">
        <f t="shared" si="20"/>
        <v>98.422554717700066</v>
      </c>
      <c r="AJ183" s="37">
        <f t="shared" si="21"/>
        <v>3.6785662772729211E-2</v>
      </c>
      <c r="AK183">
        <v>80</v>
      </c>
      <c r="AL183">
        <f>IFERROR(_xlfn.BINOM.DIST(AK183,Odds!$L$32,Odds!$L$33,FALSE),0)</f>
        <v>1.6917777778301864E-96</v>
      </c>
    </row>
    <row r="184" spans="5:38" x14ac:dyDescent="0.25">
      <c r="E184" t="s">
        <v>380</v>
      </c>
      <c r="Y184" s="36">
        <v>18100</v>
      </c>
      <c r="Z184">
        <f t="shared" si="17"/>
        <v>99.997494870876849</v>
      </c>
      <c r="AA184">
        <f t="shared" si="22"/>
        <v>1.5101076560597448E-4</v>
      </c>
      <c r="AB184" s="95">
        <v>18100</v>
      </c>
      <c r="AC184">
        <f t="shared" si="16"/>
        <v>79.321051720895397</v>
      </c>
      <c r="AD184" s="96">
        <f t="shared" si="23"/>
        <v>0.18084776318802653</v>
      </c>
      <c r="AE184" s="95">
        <v>18100</v>
      </c>
      <c r="AF184">
        <f t="shared" si="18"/>
        <v>61.71271537922425</v>
      </c>
      <c r="AG184" s="96">
        <f t="shared" si="19"/>
        <v>0.20362129448877653</v>
      </c>
      <c r="AH184">
        <v>18100</v>
      </c>
      <c r="AI184">
        <f t="shared" si="20"/>
        <v>98.45850209584583</v>
      </c>
      <c r="AJ184" s="37">
        <f t="shared" si="21"/>
        <v>3.5947378145763764E-2</v>
      </c>
      <c r="AK184">
        <v>81</v>
      </c>
      <c r="AL184">
        <f>IFERROR(_xlfn.BINOM.DIST(AK184,Odds!$L$32,Odds!$L$33,FALSE),0)</f>
        <v>4.1446401764489603E-98</v>
      </c>
    </row>
    <row r="185" spans="5:38" x14ac:dyDescent="0.25">
      <c r="E185" t="s">
        <v>381</v>
      </c>
      <c r="Y185" s="36">
        <v>18200</v>
      </c>
      <c r="Z185">
        <f t="shared" si="17"/>
        <v>99.99763729615664</v>
      </c>
      <c r="AA185">
        <f t="shared" si="22"/>
        <v>1.4242527979035913E-4</v>
      </c>
      <c r="AB185" s="95">
        <v>18200</v>
      </c>
      <c r="AC185">
        <f t="shared" si="16"/>
        <v>79.500331591790328</v>
      </c>
      <c r="AD185" s="96">
        <f t="shared" si="23"/>
        <v>0.17927987089493058</v>
      </c>
      <c r="AE185" s="95">
        <v>18200</v>
      </c>
      <c r="AF185">
        <f t="shared" si="18"/>
        <v>61.915259493777043</v>
      </c>
      <c r="AG185" s="96">
        <f t="shared" si="19"/>
        <v>0.20254411455279353</v>
      </c>
      <c r="AH185">
        <v>18200</v>
      </c>
      <c r="AI185">
        <f t="shared" si="20"/>
        <v>98.493630292489669</v>
      </c>
      <c r="AJ185" s="37">
        <f t="shared" si="21"/>
        <v>3.512819664383926E-2</v>
      </c>
      <c r="AK185">
        <v>82</v>
      </c>
      <c r="AL185">
        <f>IFERROR(_xlfn.BINOM.DIST(AK185,Odds!$L$32,Odds!$L$33,FALSE),0)</f>
        <v>1.0029002363935644E-99</v>
      </c>
    </row>
    <row r="186" spans="5:38" x14ac:dyDescent="0.25">
      <c r="Y186" s="36">
        <v>18300</v>
      </c>
      <c r="Z186">
        <f t="shared" si="17"/>
        <v>99.997771624065265</v>
      </c>
      <c r="AA186">
        <f t="shared" si="22"/>
        <v>1.3432790862566435E-4</v>
      </c>
      <c r="AB186" s="95">
        <v>18300</v>
      </c>
      <c r="AC186">
        <f t="shared" si="16"/>
        <v>79.678057163517124</v>
      </c>
      <c r="AD186" s="96">
        <f t="shared" si="23"/>
        <v>0.17772557172679626</v>
      </c>
      <c r="AE186" s="95">
        <v>18300</v>
      </c>
      <c r="AF186">
        <f t="shared" si="18"/>
        <v>62.116732126798922</v>
      </c>
      <c r="AG186" s="96">
        <f t="shared" si="19"/>
        <v>0.20147263302187923</v>
      </c>
      <c r="AH186">
        <v>18300</v>
      </c>
      <c r="AI186">
        <f t="shared" si="20"/>
        <v>98.527957975427896</v>
      </c>
      <c r="AJ186" s="37">
        <f t="shared" si="21"/>
        <v>3.4327682938226189E-2</v>
      </c>
      <c r="AK186">
        <v>83</v>
      </c>
      <c r="AL186">
        <f>IFERROR(_xlfn.BINOM.DIST(AK186,Odds!$L$32,Odds!$L$33,FALSE),0)</f>
        <v>2.3972901916650983E-101</v>
      </c>
    </row>
    <row r="187" spans="5:38" x14ac:dyDescent="0.25">
      <c r="Y187" s="36">
        <v>18400</v>
      </c>
      <c r="Z187">
        <f t="shared" si="17"/>
        <v>99.997898314966378</v>
      </c>
      <c r="AA187">
        <f t="shared" si="22"/>
        <v>1.2669090111216974E-4</v>
      </c>
      <c r="AB187" s="95">
        <v>18400</v>
      </c>
      <c r="AC187">
        <f t="shared" si="16"/>
        <v>79.854241911352688</v>
      </c>
      <c r="AD187" s="96">
        <f t="shared" si="23"/>
        <v>0.17618474783556337</v>
      </c>
      <c r="AE187" s="95">
        <v>18400</v>
      </c>
      <c r="AF187">
        <f t="shared" si="18"/>
        <v>62.317138946549747</v>
      </c>
      <c r="AG187" s="96">
        <f t="shared" si="19"/>
        <v>0.20040681975082464</v>
      </c>
      <c r="AH187">
        <v>18400</v>
      </c>
      <c r="AI187">
        <f t="shared" si="20"/>
        <v>98.561503387048504</v>
      </c>
      <c r="AJ187" s="37">
        <f t="shared" si="21"/>
        <v>3.3545411620607979E-2</v>
      </c>
      <c r="AK187">
        <v>84</v>
      </c>
      <c r="AL187">
        <f>IFERROR(_xlfn.BINOM.DIST(AK187,Odds!$L$32,Odds!$L$33,FALSE),0)</f>
        <v>5.6615910874420001E-103</v>
      </c>
    </row>
    <row r="188" spans="5:38" x14ac:dyDescent="0.25">
      <c r="E188" t="s">
        <v>382</v>
      </c>
      <c r="Y188" s="36">
        <v>18500</v>
      </c>
      <c r="Z188">
        <f t="shared" si="17"/>
        <v>99.998017803050317</v>
      </c>
      <c r="AA188">
        <f t="shared" si="22"/>
        <v>1.1948808393924537E-4</v>
      </c>
      <c r="AB188" s="95">
        <v>18500</v>
      </c>
      <c r="AC188">
        <f t="shared" si="16"/>
        <v>80.028899193747591</v>
      </c>
      <c r="AD188" s="96">
        <f t="shared" si="23"/>
        <v>0.17465728239490375</v>
      </c>
      <c r="AE188" s="95">
        <v>18500</v>
      </c>
      <c r="AF188">
        <f t="shared" si="18"/>
        <v>62.516485591303585</v>
      </c>
      <c r="AG188" s="96">
        <f t="shared" si="19"/>
        <v>0.19934664475383812</v>
      </c>
      <c r="AH188">
        <v>18500</v>
      </c>
      <c r="AI188">
        <f t="shared" si="20"/>
        <v>98.594284354025547</v>
      </c>
      <c r="AJ188" s="37">
        <f t="shared" si="21"/>
        <v>3.2780966977043136E-2</v>
      </c>
      <c r="AK188">
        <v>85</v>
      </c>
      <c r="AL188">
        <f>IFERROR(_xlfn.BINOM.DIST(AK188,Odds!$L$32,Odds!$L$33,FALSE),0)</f>
        <v>1.3212133538019275E-104</v>
      </c>
    </row>
    <row r="189" spans="5:38" x14ac:dyDescent="0.25">
      <c r="E189" t="s">
        <v>383</v>
      </c>
      <c r="Y189" s="36">
        <v>18600</v>
      </c>
      <c r="Z189">
        <f t="shared" si="17"/>
        <v>99.998130497822231</v>
      </c>
      <c r="AA189">
        <f t="shared" si="22"/>
        <v>1.1269477191433452E-4</v>
      </c>
      <c r="AB189" s="95">
        <v>18600</v>
      </c>
      <c r="AC189">
        <f t="shared" si="16"/>
        <v>80.202042253338888</v>
      </c>
      <c r="AD189" s="96">
        <f t="shared" si="23"/>
        <v>0.17314305959129683</v>
      </c>
      <c r="AE189" s="95">
        <v>18600</v>
      </c>
      <c r="AF189">
        <f t="shared" si="18"/>
        <v>62.714777669507463</v>
      </c>
      <c r="AG189" s="96">
        <f t="shared" si="19"/>
        <v>0.19829207820387751</v>
      </c>
      <c r="AH189">
        <v>18600</v>
      </c>
      <c r="AI189">
        <f t="shared" si="20"/>
        <v>98.626318296792533</v>
      </c>
      <c r="AJ189" s="37">
        <f t="shared" si="21"/>
        <v>3.2033942766986456E-2</v>
      </c>
      <c r="AK189">
        <v>86</v>
      </c>
      <c r="AL189">
        <f>IFERROR(_xlfn.BINOM.DIST(AK189,Odds!$L$32,Odds!$L$33,FALSE),0)</f>
        <v>3.0470816030524515E-106</v>
      </c>
    </row>
    <row r="190" spans="5:38" x14ac:dyDescent="0.25">
      <c r="E190" t="s">
        <v>384</v>
      </c>
      <c r="Y190" s="36">
        <v>18700</v>
      </c>
      <c r="Z190">
        <f t="shared" si="17"/>
        <v>99.998236785505483</v>
      </c>
      <c r="AA190">
        <f t="shared" si="22"/>
        <v>1.0628768325204874E-4</v>
      </c>
      <c r="AB190" s="95">
        <v>18700</v>
      </c>
      <c r="AC190">
        <f t="shared" si="16"/>
        <v>80.373684217954249</v>
      </c>
      <c r="AD190" s="96">
        <f t="shared" si="23"/>
        <v>0.17164196461536108</v>
      </c>
      <c r="AE190" s="95">
        <v>18700</v>
      </c>
      <c r="AF190">
        <f t="shared" si="18"/>
        <v>62.912020759939004</v>
      </c>
      <c r="AG190" s="96">
        <f t="shared" si="19"/>
        <v>0.19724309043154165</v>
      </c>
      <c r="AH190">
        <v>18700</v>
      </c>
      <c r="AI190">
        <f t="shared" si="20"/>
        <v>98.65762223880003</v>
      </c>
      <c r="AJ190" s="37">
        <f t="shared" si="21"/>
        <v>3.1303942007497199E-2</v>
      </c>
      <c r="AK190">
        <v>87</v>
      </c>
      <c r="AL190">
        <f>IFERROR(_xlfn.BINOM.DIST(AK190,Odds!$L$32,Odds!$L$33,FALSE),0)</f>
        <v>6.945933327507174E-108</v>
      </c>
    </row>
    <row r="191" spans="5:38" x14ac:dyDescent="0.25">
      <c r="E191" t="s">
        <v>385</v>
      </c>
      <c r="Y191" s="36">
        <v>18800</v>
      </c>
      <c r="Z191">
        <f t="shared" si="17"/>
        <v>99.998337030365278</v>
      </c>
      <c r="AA191">
        <f t="shared" si="22"/>
        <v>1.0024485979442943E-4</v>
      </c>
      <c r="AB191" s="95">
        <v>18800</v>
      </c>
      <c r="AC191">
        <f t="shared" si="16"/>
        <v>80.543838101607207</v>
      </c>
      <c r="AD191" s="96">
        <f t="shared" si="23"/>
        <v>0.17015388365295792</v>
      </c>
      <c r="AE191" s="95">
        <v>18800</v>
      </c>
      <c r="AF191">
        <f t="shared" si="18"/>
        <v>63.108220411863499</v>
      </c>
      <c r="AG191" s="96">
        <f t="shared" si="19"/>
        <v>0.19619965192449484</v>
      </c>
      <c r="AH191">
        <v>18800</v>
      </c>
      <c r="AI191">
        <f t="shared" si="20"/>
        <v>98.688212815562196</v>
      </c>
      <c r="AJ191" s="37">
        <f t="shared" si="21"/>
        <v>3.0590576762165256E-2</v>
      </c>
      <c r="AK191">
        <v>88</v>
      </c>
      <c r="AL191">
        <f>IFERROR(_xlfn.BINOM.DIST(AK191,Odds!$L$32,Odds!$L$33,FALSE),0)</f>
        <v>1.565200246312411E-109</v>
      </c>
    </row>
    <row r="192" spans="5:38" x14ac:dyDescent="0.25">
      <c r="E192" t="s">
        <v>386</v>
      </c>
      <c r="Y192" s="36">
        <v>18900</v>
      </c>
      <c r="Z192">
        <f t="shared" si="17"/>
        <v>99.998431575957085</v>
      </c>
      <c r="AA192">
        <f t="shared" si="22"/>
        <v>9.4545591807104756E-5</v>
      </c>
      <c r="AB192" s="95">
        <v>18900</v>
      </c>
      <c r="AC192">
        <f t="shared" si="16"/>
        <v>80.712516805483986</v>
      </c>
      <c r="AD192" s="96">
        <f t="shared" si="23"/>
        <v>0.16867870387677897</v>
      </c>
      <c r="AE192" s="95">
        <v>18900</v>
      </c>
      <c r="AF192">
        <f t="shared" si="18"/>
        <v>63.303382145190021</v>
      </c>
      <c r="AG192" s="96">
        <f t="shared" si="19"/>
        <v>0.19516173332652187</v>
      </c>
      <c r="AH192">
        <v>18900</v>
      </c>
      <c r="AI192">
        <f t="shared" si="20"/>
        <v>98.718106283497264</v>
      </c>
      <c r="AJ192" s="37">
        <f t="shared" si="21"/>
        <v>2.9893467935067974E-2</v>
      </c>
      <c r="AK192">
        <v>89</v>
      </c>
      <c r="AL192">
        <f>IFERROR(_xlfn.BINOM.DIST(AK192,Odds!$L$32,Odds!$L$33,FALSE),0)</f>
        <v>3.4870490595756155E-111</v>
      </c>
    </row>
    <row r="193" spans="5:38" x14ac:dyDescent="0.25">
      <c r="E193" t="s">
        <v>387</v>
      </c>
      <c r="Y193" s="36">
        <v>19000</v>
      </c>
      <c r="Z193">
        <f t="shared" si="17"/>
        <v>99.998520746304067</v>
      </c>
      <c r="AA193">
        <f t="shared" si="22"/>
        <v>8.9170346981859439E-5</v>
      </c>
      <c r="AB193" s="95">
        <v>19000</v>
      </c>
      <c r="AC193">
        <f t="shared" si="16"/>
        <v>80.879733118921706</v>
      </c>
      <c r="AD193" s="96">
        <f t="shared" si="23"/>
        <v>0.16721631343772003</v>
      </c>
      <c r="AE193" s="95">
        <v>19000</v>
      </c>
      <c r="AF193">
        <f t="shared" si="18"/>
        <v>63.497511450626632</v>
      </c>
      <c r="AG193" s="96">
        <f t="shared" si="19"/>
        <v>0.19412930543661133</v>
      </c>
      <c r="AH193">
        <v>19000</v>
      </c>
      <c r="AI193">
        <f t="shared" si="20"/>
        <v>98.747318528566467</v>
      </c>
      <c r="AJ193" s="37">
        <f t="shared" si="21"/>
        <v>2.9212245069203391E-2</v>
      </c>
      <c r="AK193">
        <v>90</v>
      </c>
      <c r="AL193">
        <f>IFERROR(_xlfn.BINOM.DIST(AK193,Odds!$L$32,Odds!$L$33,FALSE),0)</f>
        <v>7.6815681423963619E-113</v>
      </c>
    </row>
    <row r="194" spans="5:38" x14ac:dyDescent="0.25">
      <c r="Y194" s="36">
        <v>19100</v>
      </c>
      <c r="Z194">
        <f t="shared" si="17"/>
        <v>99.998604847007527</v>
      </c>
      <c r="AA194">
        <f t="shared" si="22"/>
        <v>8.4100703460876503E-5</v>
      </c>
      <c r="AB194" s="95">
        <v>19100</v>
      </c>
      <c r="AC194">
        <f t="shared" si="16"/>
        <v>81.045499720377933</v>
      </c>
      <c r="AD194" s="96">
        <f t="shared" si="23"/>
        <v>0.16576660145622668</v>
      </c>
      <c r="AE194" s="95">
        <v>19100</v>
      </c>
      <c r="AF194">
        <f t="shared" si="18"/>
        <v>63.690613789834948</v>
      </c>
      <c r="AG194" s="96">
        <f t="shared" si="19"/>
        <v>0.19310233920831621</v>
      </c>
      <c r="AH194">
        <v>19100</v>
      </c>
      <c r="AI194">
        <f t="shared" si="20"/>
        <v>98.775865074716165</v>
      </c>
      <c r="AJ194" s="37">
        <f t="shared" si="21"/>
        <v>2.8546546149698315E-2</v>
      </c>
      <c r="AK194">
        <v>91</v>
      </c>
      <c r="AL194">
        <f>IFERROR(_xlfn.BINOM.DIST(AK194,Odds!$L$32,Odds!$L$33,FALSE),0)</f>
        <v>1.6733971034018193E-114</v>
      </c>
    </row>
    <row r="195" spans="5:38" x14ac:dyDescent="0.25">
      <c r="Y195" s="36">
        <v>19200</v>
      </c>
      <c r="Z195">
        <f t="shared" si="17"/>
        <v>99.998684166294311</v>
      </c>
      <c r="AA195">
        <f t="shared" si="22"/>
        <v>7.9319286783174903E-5</v>
      </c>
      <c r="AB195" s="95">
        <v>19200</v>
      </c>
      <c r="AC195">
        <f t="shared" si="16"/>
        <v>81.209829178392113</v>
      </c>
      <c r="AD195" s="96">
        <f t="shared" si="23"/>
        <v>0.16432945801417986</v>
      </c>
      <c r="AE195" s="95">
        <v>19200</v>
      </c>
      <c r="AF195">
        <f t="shared" si="18"/>
        <v>63.882694595583779</v>
      </c>
      <c r="AG195" s="96">
        <f t="shared" si="19"/>
        <v>0.19208080574883013</v>
      </c>
      <c r="AH195">
        <v>19200</v>
      </c>
      <c r="AI195">
        <f t="shared" si="20"/>
        <v>98.803761092127587</v>
      </c>
      <c r="AJ195" s="37">
        <f t="shared" si="21"/>
        <v>2.7896017411421781E-2</v>
      </c>
      <c r="AK195">
        <v>92</v>
      </c>
      <c r="AL195">
        <f>IFERROR(_xlfn.BINOM.DIST(AK195,Odds!$L$32,Odds!$L$33,FALSE),0)</f>
        <v>3.6054367172584508E-116</v>
      </c>
    </row>
    <row r="196" spans="5:38" x14ac:dyDescent="0.25">
      <c r="E196" t="s">
        <v>388</v>
      </c>
      <c r="Y196" s="36">
        <v>19300</v>
      </c>
      <c r="Z196">
        <f t="shared" si="17"/>
        <v>99.998758976004481</v>
      </c>
      <c r="AA196">
        <f t="shared" si="22"/>
        <v>7.4809710170598009E-5</v>
      </c>
      <c r="AB196" s="95">
        <v>19300</v>
      </c>
      <c r="AC196">
        <f t="shared" ref="AC196:AC203" si="24" xml:space="preserve"> (1 - (0.9^(AB196/1210))) * 100</f>
        <v>81.372733952538454</v>
      </c>
      <c r="AD196" s="96">
        <f t="shared" si="23"/>
        <v>0.16290477414634097</v>
      </c>
      <c r="AE196" s="95">
        <v>19300</v>
      </c>
      <c r="AF196">
        <f t="shared" si="18"/>
        <v>64.073759271901949</v>
      </c>
      <c r="AG196" s="96">
        <f t="shared" si="19"/>
        <v>0.19106467631817026</v>
      </c>
      <c r="AH196">
        <v>19300</v>
      </c>
      <c r="AI196">
        <f t="shared" si="20"/>
        <v>98.83102140527852</v>
      </c>
      <c r="AJ196" s="37">
        <f t="shared" si="21"/>
        <v>2.7260313150932802E-2</v>
      </c>
      <c r="AK196">
        <v>93</v>
      </c>
      <c r="AL196">
        <f>IFERROR(_xlfn.BINOM.DIST(AK196,Odds!$L$32,Odds!$L$33,FALSE),0)</f>
        <v>7.6838307434818854E-118</v>
      </c>
    </row>
    <row r="197" spans="5:38" x14ac:dyDescent="0.25">
      <c r="E197" t="s">
        <v>383</v>
      </c>
      <c r="Y197" s="36">
        <v>19400</v>
      </c>
      <c r="Z197">
        <f t="shared" ref="Z197:Z203" si="25" xml:space="preserve"> (1 - (0.9^(Y197/180))) * 100</f>
        <v>99.998829532523175</v>
      </c>
      <c r="AA197">
        <f t="shared" si="22"/>
        <v>7.0556518693365433E-5</v>
      </c>
      <c r="AB197" s="95">
        <v>19400</v>
      </c>
      <c r="AC197">
        <f t="shared" si="24"/>
        <v>81.534226394370663</v>
      </c>
      <c r="AD197" s="96">
        <f t="shared" si="23"/>
        <v>0.16149244183220901</v>
      </c>
      <c r="AE197" s="95">
        <v>19400</v>
      </c>
      <c r="AF197">
        <f t="shared" ref="AF197:AF203" si="26" xml:space="preserve"> (1 - (0.5^(AE197/13068))) * 100</f>
        <v>64.26381319423038</v>
      </c>
      <c r="AG197" s="96">
        <f t="shared" ref="AG197:AG203" si="27">AF197-AF196</f>
        <v>0.19005392232843121</v>
      </c>
      <c r="AH197">
        <v>19400</v>
      </c>
      <c r="AI197">
        <f t="shared" ref="AI197:AI203" si="28" xml:space="preserve"> (1 - (0.8^(AH197/968))) * 100</f>
        <v>98.857660500821339</v>
      </c>
      <c r="AJ197" s="37">
        <f t="shared" ref="AJ197:AJ203" si="29">AI197-AI196</f>
        <v>2.6639095542819291E-2</v>
      </c>
      <c r="AK197">
        <v>94</v>
      </c>
      <c r="AL197">
        <f>IFERROR(_xlfn.BINOM.DIST(AK197,Odds!$L$32,Odds!$L$33,FALSE),0)</f>
        <v>1.6199774247544663E-119</v>
      </c>
    </row>
    <row r="198" spans="5:38" x14ac:dyDescent="0.25">
      <c r="E198" t="s">
        <v>389</v>
      </c>
      <c r="Y198" s="36">
        <v>19500</v>
      </c>
      <c r="Z198">
        <f t="shared" si="25"/>
        <v>99.998896077659055</v>
      </c>
      <c r="AA198">
        <f t="shared" ref="AA198:AA203" si="30">Z198-Z197</f>
        <v>6.6545135879891859E-5</v>
      </c>
      <c r="AB198" s="95">
        <v>19500</v>
      </c>
      <c r="AC198">
        <f xml:space="preserve"> (1 - (0.9^(AB198/1210))) * 100</f>
        <v>81.69431874835837</v>
      </c>
      <c r="AD198" s="96">
        <f t="shared" ref="AD198:AD203" si="31">AC198-AC197</f>
        <v>0.16009235398770727</v>
      </c>
      <c r="AE198" s="95">
        <v>19500</v>
      </c>
      <c r="AF198">
        <f t="shared" si="26"/>
        <v>64.452861709573256</v>
      </c>
      <c r="AG198" s="96">
        <f t="shared" si="27"/>
        <v>0.18904851534287559</v>
      </c>
      <c r="AH198">
        <v>19500</v>
      </c>
      <c r="AI198">
        <f t="shared" si="28"/>
        <v>98.883692535281469</v>
      </c>
      <c r="AJ198" s="37">
        <f t="shared" si="29"/>
        <v>2.6032034460129694E-2</v>
      </c>
      <c r="AK198">
        <v>95</v>
      </c>
      <c r="AL198">
        <f>IFERROR(_xlfn.BINOM.DIST(AK198,Odds!$L$32,Odds!$L$33,FALSE),0)</f>
        <v>3.379096107562295E-121</v>
      </c>
    </row>
    <row r="199" spans="5:38" x14ac:dyDescent="0.25">
      <c r="E199" t="s">
        <v>390</v>
      </c>
      <c r="Y199" s="36">
        <v>19600</v>
      </c>
      <c r="Z199">
        <f t="shared" si="25"/>
        <v>99.998958839473133</v>
      </c>
      <c r="AA199">
        <f t="shared" si="30"/>
        <v>6.2761814078271527E-5</v>
      </c>
      <c r="AB199" s="95">
        <v>19600</v>
      </c>
      <c r="AC199">
        <f t="shared" si="24"/>
        <v>81.853023152815652</v>
      </c>
      <c r="AD199" s="96">
        <f t="shared" si="31"/>
        <v>0.15870440445728207</v>
      </c>
      <c r="AE199" s="95">
        <v>19600</v>
      </c>
      <c r="AF199">
        <f t="shared" si="26"/>
        <v>64.640910136648543</v>
      </c>
      <c r="AG199" s="96">
        <f t="shared" si="27"/>
        <v>0.18804842707528735</v>
      </c>
      <c r="AH199">
        <v>19600</v>
      </c>
      <c r="AI199">
        <f t="shared" si="28"/>
        <v>98.909131342580494</v>
      </c>
      <c r="AJ199" s="37">
        <f t="shared" si="29"/>
        <v>2.5438807299025257E-2</v>
      </c>
      <c r="AK199">
        <v>96</v>
      </c>
      <c r="AL199">
        <f>IFERROR(_xlfn.BINOM.DIST(AK199,Odds!$L$32,Odds!$L$33,FALSE),0)</f>
        <v>6.9743004737204017E-123</v>
      </c>
    </row>
    <row r="200" spans="5:38" x14ac:dyDescent="0.25">
      <c r="E200" t="s">
        <v>391</v>
      </c>
      <c r="Y200" s="36">
        <v>19700</v>
      </c>
      <c r="Z200">
        <f t="shared" si="25"/>
        <v>99.999018033060395</v>
      </c>
      <c r="AA200">
        <f t="shared" si="30"/>
        <v>5.9193587262029723E-5</v>
      </c>
      <c r="AB200" s="95">
        <v>19700</v>
      </c>
      <c r="AC200">
        <f t="shared" si="24"/>
        <v>82.010351640821199</v>
      </c>
      <c r="AD200" s="96">
        <f t="shared" si="31"/>
        <v>0.15732848800554677</v>
      </c>
      <c r="AE200" s="95">
        <v>19700</v>
      </c>
      <c r="AF200">
        <f t="shared" si="26"/>
        <v>64.827963766037527</v>
      </c>
      <c r="AG200" s="96">
        <f t="shared" si="27"/>
        <v>0.18705362938898418</v>
      </c>
      <c r="AH200">
        <v>19700</v>
      </c>
      <c r="AI200">
        <f t="shared" si="28"/>
        <v>98.933990441387678</v>
      </c>
      <c r="AJ200" s="37">
        <f t="shared" si="29"/>
        <v>2.4859098807183955E-2</v>
      </c>
      <c r="AK200">
        <v>97</v>
      </c>
      <c r="AL200">
        <f>IFERROR(_xlfn.BINOM.DIST(AK200,Odds!$L$32,Odds!$L$33,FALSE),0)</f>
        <v>1.424480192775242E-124</v>
      </c>
    </row>
    <row r="201" spans="5:38" x14ac:dyDescent="0.25">
      <c r="E201" t="s">
        <v>392</v>
      </c>
      <c r="Y201" s="36">
        <v>19800</v>
      </c>
      <c r="Z201">
        <f t="shared" si="25"/>
        <v>99.999073861286902</v>
      </c>
      <c r="AA201">
        <f t="shared" si="30"/>
        <v>5.5828226507514955E-5</v>
      </c>
      <c r="AB201" s="95">
        <v>19800</v>
      </c>
      <c r="AC201">
        <f t="shared" si="24"/>
        <v>82.166316141130807</v>
      </c>
      <c r="AD201" s="96">
        <f t="shared" si="31"/>
        <v>0.15596450030960796</v>
      </c>
      <c r="AE201" s="95">
        <v>19800</v>
      </c>
      <c r="AF201">
        <f t="shared" si="26"/>
        <v>65.014027860333769</v>
      </c>
      <c r="AG201" s="96">
        <f t="shared" si="27"/>
        <v>0.18606409429624193</v>
      </c>
      <c r="AH201">
        <v>19800</v>
      </c>
      <c r="AI201">
        <f t="shared" si="28"/>
        <v>98.958283042304117</v>
      </c>
      <c r="AJ201" s="37">
        <f t="shared" si="29"/>
        <v>2.4292600916439255E-2</v>
      </c>
      <c r="AK201">
        <v>98</v>
      </c>
      <c r="AL201">
        <f>IFERROR(_xlfn.BINOM.DIST(AK201,Odds!$L$32,Odds!$L$33,FALSE),0)</f>
        <v>2.8794794365105185E-126</v>
      </c>
    </row>
    <row r="202" spans="5:38" x14ac:dyDescent="0.25">
      <c r="Y202" s="36">
        <v>19900</v>
      </c>
      <c r="Z202">
        <f t="shared" si="25"/>
        <v>99.999126515485088</v>
      </c>
      <c r="AA202">
        <f t="shared" si="30"/>
        <v>5.2654198185564383E-5</v>
      </c>
      <c r="AB202" s="95">
        <v>19900</v>
      </c>
      <c r="AC202">
        <f t="shared" si="24"/>
        <v>82.320928479081743</v>
      </c>
      <c r="AD202" s="96">
        <f t="shared" si="31"/>
        <v>0.15461233795093676</v>
      </c>
      <c r="AE202" s="95">
        <v>19900</v>
      </c>
      <c r="AF202">
        <f t="shared" si="26"/>
        <v>65.199107654291069</v>
      </c>
      <c r="AG202" s="96">
        <f t="shared" si="27"/>
        <v>0.1850797939572999</v>
      </c>
      <c r="AH202">
        <v>19900</v>
      </c>
      <c r="AI202">
        <f t="shared" si="28"/>
        <v>98.982022054883075</v>
      </c>
      <c r="AJ202" s="37">
        <f t="shared" si="29"/>
        <v>2.3739012578957386E-2</v>
      </c>
      <c r="AK202">
        <v>99</v>
      </c>
      <c r="AL202">
        <f>IFERROR(_xlfn.BINOM.DIST(AK202,Odds!$L$32,Odds!$L$33,FALSE),0)</f>
        <v>5.7612745539665763E-128</v>
      </c>
    </row>
    <row r="203" spans="5:38" ht="15.75" thickBot="1" x14ac:dyDescent="0.3">
      <c r="Y203" s="38">
        <v>20000</v>
      </c>
      <c r="Z203" s="39">
        <f t="shared" si="25"/>
        <v>99.999176176109486</v>
      </c>
      <c r="AA203" s="103">
        <f t="shared" si="30"/>
        <v>4.9660624398484288E-5</v>
      </c>
      <c r="AB203" s="39">
        <v>20000</v>
      </c>
      <c r="AC203" s="39">
        <f t="shared" si="24"/>
        <v>82.47420037748941</v>
      </c>
      <c r="AD203" s="103">
        <f t="shared" si="31"/>
        <v>0.15327189840766664</v>
      </c>
      <c r="AE203" s="39">
        <v>20000</v>
      </c>
      <c r="AF203" s="39">
        <f t="shared" si="26"/>
        <v>65.38320835497079</v>
      </c>
      <c r="AG203" s="103">
        <f t="shared" si="27"/>
        <v>0.18410070067972129</v>
      </c>
      <c r="AH203" s="39">
        <v>20000</v>
      </c>
      <c r="AI203" s="39">
        <f t="shared" si="28"/>
        <v>99.005220094490383</v>
      </c>
      <c r="AJ203" s="40">
        <f t="shared" si="29"/>
        <v>2.3198039607308374E-2</v>
      </c>
      <c r="AK203">
        <v>100</v>
      </c>
      <c r="AL203">
        <f>IFERROR(_xlfn.BINOM.DIST(AK203,Odds!$L$32,Odds!$L$33,FALSE),0)</f>
        <v>1.1410758023368924E-129</v>
      </c>
    </row>
    <row r="206" spans="5:38" x14ac:dyDescent="0.25">
      <c r="Y206">
        <v>28721</v>
      </c>
      <c r="Z206">
        <f xml:space="preserve"> (1 - (0.9^(Y206/180))) * 100</f>
        <v>99.999995000990467</v>
      </c>
      <c r="AB206">
        <v>193067</v>
      </c>
      <c r="AC206">
        <f xml:space="preserve"> (1 - (0.9^(AB206/1210))) * 100</f>
        <v>99.999995000143997</v>
      </c>
      <c r="AE206">
        <v>316945</v>
      </c>
      <c r="AF206">
        <f xml:space="preserve"> (1 - (0.5^(AE206/13068))) * 100</f>
        <v>99.999995000081043</v>
      </c>
      <c r="AH206">
        <v>72928</v>
      </c>
      <c r="AI206">
        <f xml:space="preserve"> (1 - (0.8^(AH206/968))) * 100</f>
        <v>99.999995000670665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6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81</vt:i4>
      </vt:variant>
    </vt:vector>
  </HeadingPairs>
  <TitlesOfParts>
    <vt:vector size="88" baseType="lpstr">
      <vt:lpstr>Offensive Stats</vt:lpstr>
      <vt:lpstr>Defensive Stats</vt:lpstr>
      <vt:lpstr>Attributes &amp; Paragons</vt:lpstr>
      <vt:lpstr>Odds</vt:lpstr>
      <vt:lpstr>Q&amp;As</vt:lpstr>
      <vt:lpstr>Hidden</vt:lpstr>
      <vt:lpstr>Points To Percentage Graph</vt:lpstr>
      <vt:lpstr>ArcaneCloak</vt:lpstr>
      <vt:lpstr>ArcaneExplosion</vt:lpstr>
      <vt:lpstr>ArcaneExplosionFormulas</vt:lpstr>
      <vt:lpstr>ArcaneTorrent</vt:lpstr>
      <vt:lpstr>ArcaneTorrentFormulas</vt:lpstr>
      <vt:lpstr>ArmourBreak</vt:lpstr>
      <vt:lpstr>ArmourBreakFormulas</vt:lpstr>
      <vt:lpstr>Barrage</vt:lpstr>
      <vt:lpstr>BarrageFormulas</vt:lpstr>
      <vt:lpstr>BladeFlurry</vt:lpstr>
      <vt:lpstr>BladeFlurryFormulas</vt:lpstr>
      <vt:lpstr>Blizzard</vt:lpstr>
      <vt:lpstr>BlizzardFormulas</vt:lpstr>
      <vt:lpstr>ChainLightning</vt:lpstr>
      <vt:lpstr>ChainLightningFormulas</vt:lpstr>
      <vt:lpstr>Cleave</vt:lpstr>
      <vt:lpstr>CleaveFormulas</vt:lpstr>
      <vt:lpstr>CripplingPoison</vt:lpstr>
      <vt:lpstr>DefensiveStance</vt:lpstr>
      <vt:lpstr>Disable</vt:lpstr>
      <vt:lpstr>DisableFormulas</vt:lpstr>
      <vt:lpstr>DragonsRoar</vt:lpstr>
      <vt:lpstr>DragonsRoarFormulas</vt:lpstr>
      <vt:lpstr>Earthquake</vt:lpstr>
      <vt:lpstr>EarthquakeFormulas</vt:lpstr>
      <vt:lpstr>ExplosiveShot</vt:lpstr>
      <vt:lpstr>ExplosiveShotFormulas</vt:lpstr>
      <vt:lpstr>FireArrow</vt:lpstr>
      <vt:lpstr>FireArrowFormulas</vt:lpstr>
      <vt:lpstr>Fireball</vt:lpstr>
      <vt:lpstr>FireballFormulas</vt:lpstr>
      <vt:lpstr>Firestorm</vt:lpstr>
      <vt:lpstr>FirestormFormulas</vt:lpstr>
      <vt:lpstr>Frostbolt</vt:lpstr>
      <vt:lpstr>FrostboltFormulas</vt:lpstr>
      <vt:lpstr>FrostNova</vt:lpstr>
      <vt:lpstr>FrostStrike</vt:lpstr>
      <vt:lpstr>FrostStrikeFormulas</vt:lpstr>
      <vt:lpstr>GroundSlam</vt:lpstr>
      <vt:lpstr>ImposingCry</vt:lpstr>
      <vt:lpstr>M_Defaults</vt:lpstr>
      <vt:lpstr>M_Defensive</vt:lpstr>
      <vt:lpstr>M_Offensive</vt:lpstr>
      <vt:lpstr>Mage</vt:lpstr>
      <vt:lpstr>Meteor</vt:lpstr>
      <vt:lpstr>MeteorFormulas</vt:lpstr>
      <vt:lpstr>PinDown</vt:lpstr>
      <vt:lpstr>PinDownFormulas</vt:lpstr>
      <vt:lpstr>PoisonSting</vt:lpstr>
      <vt:lpstr>PoisonStingFormulas</vt:lpstr>
      <vt:lpstr>QuickDraw</vt:lpstr>
      <vt:lpstr>QuickDrawFormulas</vt:lpstr>
      <vt:lpstr>QuickSlash</vt:lpstr>
      <vt:lpstr>QuickSlashFormulas</vt:lpstr>
      <vt:lpstr>R_Defaults</vt:lpstr>
      <vt:lpstr>R_Defensive</vt:lpstr>
      <vt:lpstr>R_Offensive</vt:lpstr>
      <vt:lpstr>RainOfArrows</vt:lpstr>
      <vt:lpstr>RainOfArrowsFormulas</vt:lpstr>
      <vt:lpstr>Ranger</vt:lpstr>
      <vt:lpstr>Rend</vt:lpstr>
      <vt:lpstr>RendFormulas</vt:lpstr>
      <vt:lpstr>Slam</vt:lpstr>
      <vt:lpstr>SlamFormulas</vt:lpstr>
      <vt:lpstr>Smokescreen</vt:lpstr>
      <vt:lpstr>Snipe</vt:lpstr>
      <vt:lpstr>SnipeFormulas</vt:lpstr>
      <vt:lpstr>Stasis</vt:lpstr>
      <vt:lpstr>Sunder</vt:lpstr>
      <vt:lpstr>SunderFormulas</vt:lpstr>
      <vt:lpstr>TauntingBlow</vt:lpstr>
      <vt:lpstr>TauntingBlowFormulas</vt:lpstr>
      <vt:lpstr>Thunderbolt</vt:lpstr>
      <vt:lpstr>ThunderboltFormulas</vt:lpstr>
      <vt:lpstr>Vanish</vt:lpstr>
      <vt:lpstr>Vigilance</vt:lpstr>
      <vt:lpstr>VigilanceFormulas</vt:lpstr>
      <vt:lpstr>W_Defaults</vt:lpstr>
      <vt:lpstr>W_Defensive</vt:lpstr>
      <vt:lpstr>W_Offensive</vt:lpstr>
      <vt:lpstr>Warrior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Jay</dc:creator>
  <cp:lastModifiedBy>Jay</cp:lastModifiedBy>
  <dcterms:created xsi:type="dcterms:W3CDTF">2022-09-15T14:58:05Z</dcterms:created>
  <dcterms:modified xsi:type="dcterms:W3CDTF">2022-10-23T02:49:57Z</dcterms:modified>
</cp:coreProperties>
</file>