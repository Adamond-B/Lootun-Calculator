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ame stuff\Idle\Lootun\Excel &amp; Guides\"/>
    </mc:Choice>
  </mc:AlternateContent>
  <xr:revisionPtr revIDLastSave="0" documentId="13_ncr:1_{1026A798-363E-41D3-8E97-02AC70EFA4D8}" xr6:coauthVersionLast="47" xr6:coauthVersionMax="47" xr10:uidLastSave="{00000000-0000-0000-0000-000000000000}"/>
  <workbookProtection workbookPassword="CCFD" lockStructure="1"/>
  <bookViews>
    <workbookView xWindow="28680" yWindow="-120" windowWidth="29040" windowHeight="16440" activeTab="1" xr2:uid="{00000000-000D-0000-FFFF-FFFF00000000}"/>
  </bookViews>
  <sheets>
    <sheet name="Contributors" sheetId="3" r:id="rId1"/>
    <sheet name="Character Offensive Stats" sheetId="17" r:id="rId2"/>
    <sheet name="Attributes &amp; Paragons" sheetId="20" r:id="rId3"/>
    <sheet name="Hidden" sheetId="18" state="hidden" r:id="rId4"/>
    <sheet name="Q&amp;As Nobody Asked For" sheetId="19" r:id="rId5"/>
    <sheet name="References" sheetId="1" r:id="rId6"/>
  </sheets>
  <definedNames>
    <definedName name="ArcaneCloak">Hidden!$O$23</definedName>
    <definedName name="ArcaneExplosion">Hidden!$B$23</definedName>
    <definedName name="ArcaneExplosionFormulas">Hidden!$A$112</definedName>
    <definedName name="ArcaneTorrent">Hidden!$J$23:$J$24</definedName>
    <definedName name="ArcaneTorrentFormulas">Hidden!$A$136:$A$137</definedName>
    <definedName name="ArmourBreak">Hidden!$I$11:$I$12</definedName>
    <definedName name="ArmourBreakFormulas">Hidden!$A$60:$A$61</definedName>
    <definedName name="Barrage">Hidden!$F$17:$F$19</definedName>
    <definedName name="BarrageFormulas">Hidden!$A$89:$A$91</definedName>
    <definedName name="BladeFlurry">Hidden!$I$17:$I$18</definedName>
    <definedName name="BladeFlurryFormulas">Hidden!$A$98:$A$99</definedName>
    <definedName name="Blizzard">Hidden!$K$23:$K$24</definedName>
    <definedName name="BlizzardFormulas">Hidden!$A$140:$A$141</definedName>
    <definedName name="ChainLightning">Hidden!$E$23</definedName>
    <definedName name="ChainLightningFormulas">Hidden!$A$121</definedName>
    <definedName name="Cleave">Hidden!$B$11:$B$12</definedName>
    <definedName name="CleaveFormulas">Hidden!$A$38:$A$39</definedName>
    <definedName name="CripplingPoison">Hidden!$N$17</definedName>
    <definedName name="DefensiveStance">Hidden!$O$11</definedName>
    <definedName name="Disable">Hidden!$B$17</definedName>
    <definedName name="DisableFormulas">Hidden!$A$75</definedName>
    <definedName name="DragonsRoar">Hidden!$K$11</definedName>
    <definedName name="DragonsRoarFormulas">Hidden!$A$68</definedName>
    <definedName name="Earthquake">Hidden!$J$11:$J$12</definedName>
    <definedName name="EarthquakeFormulas">Hidden!$A$64:$A$65</definedName>
    <definedName name="ExplosiveShot">Hidden!$C$17:$C$18</definedName>
    <definedName name="ExplosiveShotFormulas">Hidden!$A$78:$A$79</definedName>
    <definedName name="FireArrow">Hidden!$G$11:$G$12</definedName>
    <definedName name="FireArrowFormulas">Hidden!$A$56:$A$57</definedName>
    <definedName name="Fireball">Hidden!$A$23</definedName>
    <definedName name="FireballFormulas">Hidden!$A$109</definedName>
    <definedName name="Firestorm">Hidden!$I$23:$I$24</definedName>
    <definedName name="FirestormFormulas">Hidden!$A$132:$A$133</definedName>
    <definedName name="Frostbolt">Hidden!$C$23</definedName>
    <definedName name="FrostboltFormulas">Hidden!$A$115</definedName>
    <definedName name="FrostNova">Hidden!$N$23</definedName>
    <definedName name="FrostStrike">Hidden!$D$23</definedName>
    <definedName name="FrostStrikeFormulas">Hidden!$A$118</definedName>
    <definedName name="GroundSlam">Hidden!$M$11</definedName>
    <definedName name="ImposingCry">Hidden!$N$11</definedName>
    <definedName name="M_Defaults">Hidden!$G$2:$G$8</definedName>
    <definedName name="M_Defensive">Hidden!$M$2:$M$4</definedName>
    <definedName name="M_Offensive">Hidden!$J$2:$J$4</definedName>
    <definedName name="Mage">Hidden!$D$2:$D$5</definedName>
    <definedName name="Meteor">Hidden!$G$23:$G$25</definedName>
    <definedName name="MeteorFormulas">Hidden!$A$127:$A$129</definedName>
    <definedName name="PinDown">Hidden!$J$17</definedName>
    <definedName name="PinDownFormulas">Hidden!$A$102</definedName>
    <definedName name="PoisonSting">Hidden!$D$17:$D$18</definedName>
    <definedName name="PoisonStingFormulas">Hidden!$A$82:$A$83</definedName>
    <definedName name="QuickDraw">Hidden!$A$17:$A$18</definedName>
    <definedName name="QuickDrawFormulas">Hidden!$A$71:$A$72</definedName>
    <definedName name="QuickSlash">Hidden!$A$11:$A$13</definedName>
    <definedName name="QuickSlashFormulas">Hidden!$A$33:$A$35</definedName>
    <definedName name="R_Defaults">Hidden!$F$2:$F$8</definedName>
    <definedName name="R_Defensive">Hidden!$L$2:$L$4</definedName>
    <definedName name="R_Offensive">Hidden!$I$2:$I$4</definedName>
    <definedName name="RainOfArrows">Hidden!$K$17:$K$18</definedName>
    <definedName name="RainOfArrowsFormulas">Hidden!$A$105:$A$106</definedName>
    <definedName name="Ranger">Hidden!$C$2:$C$5</definedName>
    <definedName name="Rend">Hidden!$C$11:$C$12</definedName>
    <definedName name="RendFormulas">Hidden!$A$42:$A$43</definedName>
    <definedName name="Slam">Hidden!$F$11:$F$12</definedName>
    <definedName name="SlamFormulas">Hidden!$A$52:$A$53</definedName>
    <definedName name="Smokescreen">Hidden!$M$17</definedName>
    <definedName name="Snipe">Hidden!$G$17:$G$18</definedName>
    <definedName name="SnipeFormulas">Hidden!$A$94:$A$95</definedName>
    <definedName name="Stasis">Hidden!$M$23</definedName>
    <definedName name="Sunder">Hidden!$D$11</definedName>
    <definedName name="SunderFormulas">Hidden!$A$46</definedName>
    <definedName name="TauntingBlow">Hidden!$E$11</definedName>
    <definedName name="TauntingBlowFormulas">Hidden!$A$49</definedName>
    <definedName name="Thunderbolt">Hidden!$F$23</definedName>
    <definedName name="ThunderboltFormulas">Hidden!$A$124</definedName>
    <definedName name="Vanish">Hidden!$O$17</definedName>
    <definedName name="Vigilance">Hidden!$E$17</definedName>
    <definedName name="VigilanceFormulas">Hidden!$A$86</definedName>
    <definedName name="W_Defaults">Hidden!$E$2:$E$8</definedName>
    <definedName name="W_Defensive">Hidden!$K$2:$K$4</definedName>
    <definedName name="W_Offensive">Hidden!$H$2:$H$4</definedName>
    <definedName name="Warrior">Hidden!$B$2:$B$5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3" i="20" l="1"/>
  <c r="C5" i="17"/>
  <c r="H14" i="20"/>
  <c r="B5" i="17"/>
  <c r="G2" i="17"/>
  <c r="G11" i="17"/>
  <c r="B6" i="17"/>
  <c r="G5" i="17" l="1"/>
  <c r="G6" i="17"/>
  <c r="C24" i="20"/>
  <c r="D24" i="20" s="1"/>
  <c r="C18" i="20"/>
  <c r="D18" i="20" s="1"/>
  <c r="C19" i="20"/>
  <c r="D19" i="20" s="1"/>
  <c r="C20" i="20"/>
  <c r="D20" i="20" s="1"/>
  <c r="C21" i="20"/>
  <c r="D21" i="20" s="1"/>
  <c r="C22" i="20"/>
  <c r="D22" i="20" s="1"/>
  <c r="C23" i="20"/>
  <c r="D23" i="20" s="1"/>
  <c r="C25" i="20"/>
  <c r="D25" i="20" s="1"/>
  <c r="C26" i="20"/>
  <c r="D26" i="20" s="1"/>
  <c r="C27" i="20"/>
  <c r="D27" i="20" s="1"/>
  <c r="C28" i="20"/>
  <c r="D28" i="20" s="1"/>
  <c r="C29" i="20"/>
  <c r="D29" i="20" s="1"/>
  <c r="C17" i="20"/>
  <c r="D17" i="20" s="1"/>
  <c r="C16" i="20"/>
  <c r="D16" i="20" s="1"/>
  <c r="C4" i="20"/>
  <c r="D4" i="20" s="1"/>
  <c r="C5" i="20"/>
  <c r="D5" i="20" s="1"/>
  <c r="C6" i="20"/>
  <c r="D6" i="20" s="1"/>
  <c r="C7" i="20"/>
  <c r="D7" i="20" s="1"/>
  <c r="C8" i="20"/>
  <c r="D8" i="20" s="1"/>
  <c r="C9" i="20"/>
  <c r="D9" i="20" s="1"/>
  <c r="C10" i="20"/>
  <c r="D10" i="20" s="1"/>
  <c r="C11" i="20"/>
  <c r="D11" i="20" s="1"/>
  <c r="C12" i="20"/>
  <c r="D12" i="20" s="1"/>
  <c r="C13" i="20"/>
  <c r="D13" i="20" s="1"/>
  <c r="C14" i="20"/>
  <c r="D14" i="20" s="1"/>
  <c r="C15" i="20"/>
  <c r="D15" i="20" s="1"/>
  <c r="C3" i="20"/>
  <c r="D3" i="20" s="1"/>
  <c r="E3" i="17" l="1"/>
  <c r="G10" i="17"/>
  <c r="G1" i="17"/>
  <c r="B129" i="18"/>
  <c r="B128" i="18"/>
  <c r="B127" i="18"/>
  <c r="B124" i="18"/>
  <c r="B121" i="18"/>
  <c r="B118" i="18"/>
  <c r="B115" i="18"/>
  <c r="B112" i="18"/>
  <c r="B109" i="18"/>
  <c r="B141" i="18"/>
  <c r="B140" i="18"/>
  <c r="B137" i="18"/>
  <c r="B136" i="18"/>
  <c r="B133" i="18"/>
  <c r="B132" i="18"/>
  <c r="B106" i="18"/>
  <c r="B105" i="18"/>
  <c r="B102" i="18"/>
  <c r="B99" i="18"/>
  <c r="B98" i="18"/>
  <c r="B95" i="18"/>
  <c r="B94" i="18"/>
  <c r="B91" i="18"/>
  <c r="B90" i="18"/>
  <c r="B89" i="18"/>
  <c r="B86" i="18"/>
  <c r="B83" i="18"/>
  <c r="B82" i="18"/>
  <c r="B79" i="18"/>
  <c r="B78" i="18"/>
  <c r="B75" i="18"/>
  <c r="B72" i="18"/>
  <c r="B71" i="18"/>
  <c r="B68" i="18"/>
  <c r="B65" i="18"/>
  <c r="B64" i="18"/>
  <c r="B61" i="18"/>
  <c r="B60" i="18"/>
  <c r="B57" i="18"/>
  <c r="B56" i="18"/>
  <c r="B53" i="18"/>
  <c r="B52" i="18"/>
  <c r="B49" i="18"/>
  <c r="B46" i="18"/>
  <c r="B43" i="18"/>
  <c r="B42" i="18"/>
  <c r="B39" i="18"/>
  <c r="B38" i="18"/>
  <c r="E30" i="18" l="1"/>
  <c r="F30" i="18"/>
  <c r="G30" i="18"/>
  <c r="J30" i="18"/>
  <c r="H30" i="18"/>
  <c r="B30" i="18"/>
  <c r="D30" i="18"/>
  <c r="I30" i="18"/>
  <c r="C30" i="18"/>
  <c r="A30" i="18"/>
  <c r="B35" i="18"/>
  <c r="B34" i="18"/>
  <c r="B33" i="18"/>
  <c r="E2" i="17"/>
  <c r="R1" i="18" l="1" a="1"/>
  <c r="R8" i="18" s="1"/>
  <c r="C36" i="17"/>
  <c r="G12" i="17" l="1"/>
  <c r="R7" i="18"/>
  <c r="R9" i="18"/>
  <c r="R6" i="18"/>
  <c r="R1" i="18"/>
  <c r="R5" i="18"/>
  <c r="R4" i="18"/>
  <c r="R3" i="18"/>
  <c r="R10" i="18"/>
  <c r="R2" i="18"/>
  <c r="J28" i="18"/>
  <c r="C28" i="18"/>
  <c r="D28" i="18"/>
  <c r="E28" i="18"/>
  <c r="F28" i="18"/>
  <c r="G28" i="18"/>
  <c r="H28" i="18"/>
  <c r="I28" i="18"/>
  <c r="B28" i="18"/>
  <c r="A28" i="18"/>
  <c r="G4" i="17"/>
  <c r="G13" i="17"/>
  <c r="G8" i="17" l="1"/>
  <c r="G3" i="17"/>
  <c r="Q1" i="18" a="1"/>
  <c r="Q4" i="18" l="1"/>
  <c r="Q5" i="18"/>
  <c r="Q6" i="18"/>
  <c r="Q7" i="18"/>
  <c r="Q8" i="18"/>
  <c r="Q1" i="18"/>
  <c r="Q9" i="18"/>
  <c r="Q2" i="18"/>
  <c r="Q3" i="18"/>
  <c r="Q10" i="18"/>
  <c r="C23" i="17" l="1"/>
  <c r="C24" i="17"/>
  <c r="C28" i="17"/>
  <c r="C25" i="17"/>
  <c r="C29" i="17"/>
  <c r="C26" i="17"/>
  <c r="C27" i="17"/>
  <c r="C31" i="17"/>
  <c r="C32" i="17"/>
  <c r="C30" i="17"/>
</calcChain>
</file>

<file path=xl/sharedStrings.xml><?xml version="1.0" encoding="utf-8"?>
<sst xmlns="http://schemas.openxmlformats.org/spreadsheetml/2006/main" count="514" uniqueCount="314">
  <si>
    <t>(Weapon Damage + Adaptive Damage) * (Damage %) * (Damage Multi) * (x2 if Double Damage or x3 if Triple Damage) * (Crit Damage if Crit or 2x Crit Damage if double Crit)</t>
  </si>
  <si>
    <t>ArrowSoft</t>
  </si>
  <si>
    <t>(Duh)</t>
  </si>
  <si>
    <t>Adamond</t>
  </si>
  <si>
    <t>(Me)</t>
  </si>
  <si>
    <t>In Game Glossary</t>
  </si>
  <si>
    <t>Barbarian</t>
  </si>
  <si>
    <t>Damage Per Second</t>
  </si>
  <si>
    <t>Average Damage</t>
  </si>
  <si>
    <t>Seconds Per Attack</t>
  </si>
  <si>
    <t>Defence</t>
  </si>
  <si>
    <t>Critical Chance</t>
  </si>
  <si>
    <t>Critical Damage</t>
  </si>
  <si>
    <t>Health Points</t>
  </si>
  <si>
    <t>Health Regen</t>
  </si>
  <si>
    <t>%</t>
  </si>
  <si>
    <t>Adaptive Damage</t>
  </si>
  <si>
    <t>Damage Multiplier</t>
  </si>
  <si>
    <t>Damage</t>
  </si>
  <si>
    <t>Melee Damage</t>
  </si>
  <si>
    <t>Ranged Damage</t>
  </si>
  <si>
    <t>Physical Damage</t>
  </si>
  <si>
    <t>Damage Over Time</t>
  </si>
  <si>
    <t>Fire Damage</t>
  </si>
  <si>
    <t>Lightning Damage</t>
  </si>
  <si>
    <t>Elemental Damage</t>
  </si>
  <si>
    <t>Attack Speed</t>
  </si>
  <si>
    <t>Attack Speed Multiplier</t>
  </si>
  <si>
    <t>Health Multiplier</t>
  </si>
  <si>
    <t>= (Default HP + HP from equipment) * Health Multiplier</t>
  </si>
  <si>
    <t>Lvl 150</t>
  </si>
  <si>
    <t>(Probably at some point)</t>
  </si>
  <si>
    <t>= 100*1.1*1.1</t>
  </si>
  <si>
    <t>multiplicative with each other NOT additive</t>
  </si>
  <si>
    <t>Warrior Passive: More Health Lvl 4 = 10%   X   Barbarian Passive: More Health Lvl 5 = 10%</t>
  </si>
  <si>
    <t>Dual Wield weapon damage and attack time are averaged (not added) then multiplied by 1.2.</t>
  </si>
  <si>
    <t>Whether dual wield is better than 2H is going to depend on the weapons used (their bonus attributes and base damage)</t>
  </si>
  <si>
    <t>though looking at the database it seems that a lot of the 2H Special drops are slightly (&lt;5%) behind their 1H counter parts so maybe some adjustment is in order.</t>
  </si>
  <si>
    <t>Quick Slash</t>
  </si>
  <si>
    <t>Stagger is applied after everything except the Defiance enchant.</t>
  </si>
  <si>
    <t>Target based multipliers (armour, resistance, damage taken, etc) but the order of those doesn't matter as it's all multiplication</t>
  </si>
  <si>
    <t xml:space="preserve">Weapon damage is averaged, crit is averaged too so say you have 10% crit chance and 200% crit damage that will be a 1.1x multiplier (100% crit damage would mean no multiplier). </t>
  </si>
  <si>
    <t xml:space="preserve">Double and Triple damage is a little more tricky since triple damage overwrites double damage but it works like: </t>
  </si>
  <si>
    <t>(Damage) * (1 +Triple Damage Chance) * (1+ (Double Damage Chance * (1 - Triple Damage Chance)))</t>
  </si>
  <si>
    <t>Critical Multiplier</t>
  </si>
  <si>
    <t>}</t>
  </si>
  <si>
    <t>Sec/Atk</t>
  </si>
  <si>
    <t>Increased Damage: Damage, Melee, Ranged, Magic, Physical, Fire, Cold, Lightning, Arcane, Elemental, Damage Over Time</t>
  </si>
  <si>
    <t>Each source is additive with each other</t>
  </si>
  <si>
    <t>Damage Multiplier: Generic, Direct, Area, Boss, On Full</t>
  </si>
  <si>
    <t>Each source is multiplicative with each other</t>
  </si>
  <si>
    <t>16.73K</t>
  </si>
  <si>
    <t>33.46K</t>
  </si>
  <si>
    <t>Boss Damage Multiplier</t>
  </si>
  <si>
    <t>Cold Damage</t>
  </si>
  <si>
    <t>Arcane Damage</t>
  </si>
  <si>
    <t>Double Damage</t>
  </si>
  <si>
    <t>Triple Damage</t>
  </si>
  <si>
    <t>Magic Damage</t>
  </si>
  <si>
    <t>Offensive Attributes:</t>
  </si>
  <si>
    <t>Class:</t>
  </si>
  <si>
    <t>Warrior</t>
  </si>
  <si>
    <t>Ranger</t>
  </si>
  <si>
    <t>Mage</t>
  </si>
  <si>
    <t>Classes:</t>
  </si>
  <si>
    <t>Warrior Ascendancies:</t>
  </si>
  <si>
    <t>Ranger Ascendancies:</t>
  </si>
  <si>
    <t>Mage Ascendancies:</t>
  </si>
  <si>
    <t>Warden</t>
  </si>
  <si>
    <t>Juggarnaut</t>
  </si>
  <si>
    <t>Marksman</t>
  </si>
  <si>
    <t>Assassin</t>
  </si>
  <si>
    <t>Renegade</t>
  </si>
  <si>
    <t>Vizier</t>
  </si>
  <si>
    <t>Archmage</t>
  </si>
  <si>
    <t>Battlemage</t>
  </si>
  <si>
    <t>N/A</t>
  </si>
  <si>
    <t>Default Attack:</t>
  </si>
  <si>
    <t>Offensive  Move:</t>
  </si>
  <si>
    <t>Warrior Defaults:</t>
  </si>
  <si>
    <t>Cleave</t>
  </si>
  <si>
    <t>Rend</t>
  </si>
  <si>
    <t>Sunder</t>
  </si>
  <si>
    <t>Taunting Blow</t>
  </si>
  <si>
    <t>Slam</t>
  </si>
  <si>
    <t>Fire Arrow</t>
  </si>
  <si>
    <t>Ranger Defaults:</t>
  </si>
  <si>
    <t>Mage Defaults:</t>
  </si>
  <si>
    <t>Fireball</t>
  </si>
  <si>
    <t>Arcane Explosion</t>
  </si>
  <si>
    <t>Frostbolt</t>
  </si>
  <si>
    <t>Frost Strike</t>
  </si>
  <si>
    <t>Chain Lightning</t>
  </si>
  <si>
    <t>Thunderbolt</t>
  </si>
  <si>
    <t>Meteor</t>
  </si>
  <si>
    <t>Quick Draw</t>
  </si>
  <si>
    <t>Disable</t>
  </si>
  <si>
    <t>Explosive Shot</t>
  </si>
  <si>
    <t>Poison Sting</t>
  </si>
  <si>
    <t>Vigilance</t>
  </si>
  <si>
    <t>Barrage</t>
  </si>
  <si>
    <t>Snipe</t>
  </si>
  <si>
    <t>Warrior Offensive:</t>
  </si>
  <si>
    <t>Ranger Offensive:</t>
  </si>
  <si>
    <t>Mage Offensive:</t>
  </si>
  <si>
    <t>Warrior Defensive:</t>
  </si>
  <si>
    <t>Ranger Defensive:</t>
  </si>
  <si>
    <t>Mage Defensive:</t>
  </si>
  <si>
    <t>Blade Flurry</t>
  </si>
  <si>
    <t>Pin Down</t>
  </si>
  <si>
    <t>Rain Of Arrows</t>
  </si>
  <si>
    <t>Smokescreen</t>
  </si>
  <si>
    <t>Crippling Poison</t>
  </si>
  <si>
    <t>Vanish</t>
  </si>
  <si>
    <t>Stasis</t>
  </si>
  <si>
    <t>Frost Nova</t>
  </si>
  <si>
    <t>Arcane Cloak</t>
  </si>
  <si>
    <t>Firestorm</t>
  </si>
  <si>
    <t>Arcane Torrent</t>
  </si>
  <si>
    <t>Blizzard</t>
  </si>
  <si>
    <t>Ground Slam</t>
  </si>
  <si>
    <t>Imposing Cry</t>
  </si>
  <si>
    <t>Defensive Stance</t>
  </si>
  <si>
    <t>Armour Break</t>
  </si>
  <si>
    <t>Earthquake</t>
  </si>
  <si>
    <t>Dragons Roar</t>
  </si>
  <si>
    <t>Standard</t>
  </si>
  <si>
    <t>Lightning</t>
  </si>
  <si>
    <t>Cold</t>
  </si>
  <si>
    <t>Ranged</t>
  </si>
  <si>
    <t>With Lightning</t>
  </si>
  <si>
    <t>With Fire</t>
  </si>
  <si>
    <t>With Cold</t>
  </si>
  <si>
    <t>Melee</t>
  </si>
  <si>
    <t>With Maelstrom</t>
  </si>
  <si>
    <t>Arcane</t>
  </si>
  <si>
    <t>Quick Slash Formulas</t>
  </si>
  <si>
    <t>What Increases The Damage Of:</t>
  </si>
  <si>
    <t>Melee Damage, Elemental Damage, Direct Damage</t>
  </si>
  <si>
    <t>Melee Damage, Lightning Damage, Elemental Damage, Direct Damage</t>
  </si>
  <si>
    <t>Melee Damage, Fire Damage, Elemental Damage, Direct Damage</t>
  </si>
  <si>
    <t>Lowest Damage</t>
  </si>
  <si>
    <t>Highest Damage</t>
  </si>
  <si>
    <t>Mastery Lvl.</t>
  </si>
  <si>
    <t>Weapon Stats:</t>
  </si>
  <si>
    <t>This Column</t>
  </si>
  <si>
    <t>Only Change Values In</t>
  </si>
  <si>
    <t>Click me me for more info about the 2 columns</t>
  </si>
  <si>
    <t>Bonus Damage</t>
  </si>
  <si>
    <t>Q:</t>
  </si>
  <si>
    <t>A:</t>
  </si>
  <si>
    <t>Do you plan on adding ______?</t>
  </si>
  <si>
    <t>Did you know that the formula you use for Average Damage doesn't equal the game's Average Damage exactly?</t>
  </si>
  <si>
    <t>WTF is Rubber Duck Debugging?</t>
  </si>
  <si>
    <t>https://en.wikipedia.org/wiki/Rubber_duck_debugging</t>
  </si>
  <si>
    <t>I didn't even really plan to make what I have so far; so, technically no lol. (But if you have an idea, I'll think about it)</t>
  </si>
  <si>
    <t>Why don't you just merge some cells to make things look better?</t>
  </si>
  <si>
    <t>Yes!... I spent a few days Rubber Duck Debugging the main formula, until I gave up and contacted ArrowSoft. We found that the in-game's Average Damage may not be calculating Skill Mastery correctly (for now).</t>
  </si>
  <si>
    <t>Did you know that you spelled ______ wrong?</t>
  </si>
  <si>
    <t>Probably not, I'm dyslexic… very dyslexic… like I wasn't supposed to pass middle school due to my dyslexia. If a word is spelled wrong let me know and I'll update it.</t>
  </si>
  <si>
    <t>Why is ______ arranged the way it is?</t>
  </si>
  <si>
    <t>Tell me :)</t>
  </si>
  <si>
    <t>Cleave Formulas</t>
  </si>
  <si>
    <t>Rend Formulas</t>
  </si>
  <si>
    <t>Sunder Formulas</t>
  </si>
  <si>
    <t>Taunting Blow Formulas</t>
  </si>
  <si>
    <t>Slam Formulas</t>
  </si>
  <si>
    <t>Fire Arrow Formulas</t>
  </si>
  <si>
    <t>Armour Break Formulas</t>
  </si>
  <si>
    <t>Quick Draw Formulas</t>
  </si>
  <si>
    <t>Disable Formulas</t>
  </si>
  <si>
    <t>Explosive Shot Formulas</t>
  </si>
  <si>
    <t>Poison Sting Formulas</t>
  </si>
  <si>
    <t>Vigilance Formulas</t>
  </si>
  <si>
    <t>Barrage Formulas</t>
  </si>
  <si>
    <t>Snipe Formulas</t>
  </si>
  <si>
    <t>My main reasoning is backwards compatibility (habit). A lot of awesome functions are only available in newer versions of Excel and won’t work on older ones.</t>
  </si>
  <si>
    <t>However, the functions I’m using are available since at least 2010 (probably earlier), and this allows for more people to use the spreadsheet.</t>
  </si>
  <si>
    <t>Why didn't you use the function IFNA, XLOOKUP, TEXTBEFORE/AFTER/SPLIT, CONCAT/TEXTJOIN,… Why not at least use the IFS function!?!?!?</t>
  </si>
  <si>
    <t>I know a lot of people and businesses who still use Office 2010 and it’s still available online.</t>
  </si>
  <si>
    <t>Melee Damage, Physical Damage, Area Damage</t>
  </si>
  <si>
    <t>Melee Damage, Damage Over Time, Physical Damage, Direct Damage</t>
  </si>
  <si>
    <t>Ranged Damage, Damage Over Time, Physical Damage, Direct Damage</t>
  </si>
  <si>
    <t>You missed a skill variation.</t>
  </si>
  <si>
    <t>Please tell me. I did try to get them all, but might have missed some… That, or I don't have an easy solution for calculating the damage.</t>
  </si>
  <si>
    <t>Melee Damage, Physical Damage, Direct Damage</t>
  </si>
  <si>
    <t>Melee Damage, Cold Damage, Elemental Damage, Direct Damage</t>
  </si>
  <si>
    <t>Ranged Damage, Fire Damage, Elemental Damage, Direct Damage</t>
  </si>
  <si>
    <t>Ranged Damage, Lightning Damage, Elemental Damage, Direct Damage</t>
  </si>
  <si>
    <t>Physical Damage, Direct Damage</t>
  </si>
  <si>
    <t>Lightning Damage, Elemental Damage, Direct Damage</t>
  </si>
  <si>
    <t>Physical Damage, Area Damage</t>
  </si>
  <si>
    <t>Fire Damage, Elemental Damage, Area Damage</t>
  </si>
  <si>
    <t>Ranged Damage, Physical Damage, Direct Damage</t>
  </si>
  <si>
    <t>Ranged Damage, Cold Damage, Elemental Damage, Direct Damage</t>
  </si>
  <si>
    <t>Ranged Damage, Physical Damage, Area Damage</t>
  </si>
  <si>
    <t>Ranged Damage, Fire Damage, Elemental Damage, Area Damage</t>
  </si>
  <si>
    <t>Ranged Damage, Lightning Damage, Elemental Damage, Area Damage</t>
  </si>
  <si>
    <t>Cold Damage, Elemental Damage, Direct Damage</t>
  </si>
  <si>
    <t>Damage Over Time, Physical Damage, Direct Damage</t>
  </si>
  <si>
    <t>Arcane Damage, Elemental Damage, Area Damage</t>
  </si>
  <si>
    <t>Arcane Damage, Elemental Damage, Direct Damage</t>
  </si>
  <si>
    <t>Cold Damage, Elemental Damage, Area Damage</t>
  </si>
  <si>
    <t>Lightning Damage, Elemental Damage, Area Damage</t>
  </si>
  <si>
    <t>Magic Damage, Fire Damage, Elemental Damage, Direct Damage</t>
  </si>
  <si>
    <t>Magic Damage, Arcane Damage, Elemental Damage, Direct Damage</t>
  </si>
  <si>
    <t>Magic Damage, Cold Damage, Elemental Damage, Direct Damage</t>
  </si>
  <si>
    <t>Magic Damage, Lightning Damage, Elemental Damage, Direct Damage</t>
  </si>
  <si>
    <t>Magic Damage, Fire Damage, Cold Damage, Lightning Damage, Arcane Damage, Elemental Damage, Direct Damage</t>
  </si>
  <si>
    <t>Melee Damage, Cold Damage, Elemental Damage, Area Damage</t>
  </si>
  <si>
    <t>Dragons Roar Formulas</t>
  </si>
  <si>
    <t>Earthquake Formulas</t>
  </si>
  <si>
    <t>Blade Flurry Formulas</t>
  </si>
  <si>
    <t>Pin Down Formulas</t>
  </si>
  <si>
    <t>Rain Of Arrows Formulas</t>
  </si>
  <si>
    <t>Fireball Formulas</t>
  </si>
  <si>
    <t>Arcane Explosion Formulas</t>
  </si>
  <si>
    <t>Frostbolt Formulas</t>
  </si>
  <si>
    <t>Frost Strike Formulas</t>
  </si>
  <si>
    <t>Chain Lightning Formulas</t>
  </si>
  <si>
    <t>Thunderbolt Formulas</t>
  </si>
  <si>
    <t>Meteor Formulas</t>
  </si>
  <si>
    <t>Firestorm Formulas</t>
  </si>
  <si>
    <t>Arcane Torrent Formulas</t>
  </si>
  <si>
    <t>Blizzard Formulas</t>
  </si>
  <si>
    <r>
      <t xml:space="preserve">*Formula for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attack:</t>
    </r>
  </si>
  <si>
    <r>
      <t xml:space="preserve">*Calculated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attack:</t>
    </r>
  </si>
  <si>
    <t>*Does not include Mastery Points</t>
  </si>
  <si>
    <t>Are you going to include Mastery Points into the equations?</t>
  </si>
  <si>
    <t>I really don't want to. The inclusion of them will obviously make a difference, but I started making this to help better visualize how the different Character Stats interacted with each other… But I might add them at some point.</t>
  </si>
  <si>
    <t>Not being used, keeping in case I want to expand</t>
  </si>
  <si>
    <t>Default Barbarian Stats. Not being used, keeping in case I want to expand</t>
  </si>
  <si>
    <t>Average Damage / Seconds Per Attack</t>
  </si>
  <si>
    <t>*Formula for Seconds Per Attack:</t>
  </si>
  <si>
    <t>*Calculated Seconds Per Attack:</t>
  </si>
  <si>
    <t>*Formula for Damage Per Second:</t>
  </si>
  <si>
    <t>*Calculated Damage Per Second:</t>
  </si>
  <si>
    <t>Also, I don't currently have any of the Mastery Points affecting the formulas. It's a challenge I don't feel like tackling, but maybe later.</t>
  </si>
  <si>
    <t>Some (many) formulas work better when cells are not merged. Many functions can't even process merged cells correctly. Trust me I tried. Especially for the drop down lists.</t>
  </si>
  <si>
    <t>______ doesn't make sense to me / I have an idea on how to convey ______ better.</t>
  </si>
  <si>
    <t>Weapon(s)</t>
  </si>
  <si>
    <t>One Handed</t>
  </si>
  <si>
    <t>I have a:</t>
  </si>
  <si>
    <t>Weapon #1</t>
  </si>
  <si>
    <t>Weapon #2</t>
  </si>
  <si>
    <t>You know you have unnecessary parentheses right?</t>
  </si>
  <si>
    <t>&lt;&lt;&lt; Set to 100% if not listed in your character sheet</t>
  </si>
  <si>
    <t>I don't think gaining a mastery level causes the skill sheet to update, I'll try to add that in for the next update.</t>
  </si>
  <si>
    <t>Also, many of the formulas are variable, so some of the parentheses may seem useless until certain conditions are met.</t>
  </si>
  <si>
    <t>Yup, that's because I've learned to never trust man's nor machine's ability to remember or use PEMDAS. Plus 'extra' parentheses can't hurt math formulas when placed correctly.</t>
  </si>
  <si>
    <t>Area Damage Multiplier</t>
  </si>
  <si>
    <t>Direct Damage Multiplier</t>
  </si>
  <si>
    <t>Defiance</t>
  </si>
  <si>
    <t>Wearer cannot take more than 35% Max HP in a single hit</t>
  </si>
  <si>
    <t>Devotion</t>
  </si>
  <si>
    <t>Health Regeneration now applies to Barrier instead</t>
  </si>
  <si>
    <t>Purpose</t>
  </si>
  <si>
    <t>Grants -50% Max HP and +200% Barrier. Barrier is now uncapped by HP</t>
  </si>
  <si>
    <t>Mend</t>
  </si>
  <si>
    <t>Grants +20% Healing Effectiveness</t>
  </si>
  <si>
    <t>Chest</t>
  </si>
  <si>
    <t>Trinket</t>
  </si>
  <si>
    <t>I did my best to show how each variable is being used within the formulas, while removing unnecessary 0s, as seeing something like: '(100 + 0)' seems worse than (100), in my opinion.</t>
  </si>
  <si>
    <t>Attribute Level</t>
  </si>
  <si>
    <t>Attribute Name</t>
  </si>
  <si>
    <t>Attribute Affect</t>
  </si>
  <si>
    <t>Health Regeneration</t>
  </si>
  <si>
    <t>Barrier</t>
  </si>
  <si>
    <t>Lightning Resistance</t>
  </si>
  <si>
    <t>Ranged Resistance</t>
  </si>
  <si>
    <t>Physical Resistance</t>
  </si>
  <si>
    <t>Cold Resistance</t>
  </si>
  <si>
    <t>Melee Resistance</t>
  </si>
  <si>
    <t>Arcane Resistance</t>
  </si>
  <si>
    <t>Evasion Rating</t>
  </si>
  <si>
    <t>Magic Resistance</t>
  </si>
  <si>
    <t>Fire Resistance</t>
  </si>
  <si>
    <t>Elemental Resistance</t>
  </si>
  <si>
    <t>Critical Strike chance over 100% now provides a chance to Double Critical</t>
  </si>
  <si>
    <t>It uses your critical chance over 100%. So for example if you had 115% Critical Chance you would have a 15% chance to deal a Double Crit (x2 Critical Damage).</t>
  </si>
  <si>
    <t>* Does not include Enchantments</t>
  </si>
  <si>
    <t>Weapon Damage %</t>
  </si>
  <si>
    <t>Attack Time %</t>
  </si>
  <si>
    <t>2H Weapon</t>
  </si>
  <si>
    <t>TEST</t>
  </si>
  <si>
    <t>From Paragon Level</t>
  </si>
  <si>
    <t>To Paragon Level</t>
  </si>
  <si>
    <t>Orbs Needed</t>
  </si>
  <si>
    <t>How Many Orbs Do I Need?</t>
  </si>
  <si>
    <t>How Many Orbs will I Get?</t>
  </si>
  <si>
    <t>Paragon Level</t>
  </si>
  <si>
    <t>You Need</t>
  </si>
  <si>
    <t>You'll Get</t>
  </si>
  <si>
    <t>while a 10/10 Fire              Damage will be +968%</t>
  </si>
  <si>
    <t xml:space="preserve">e.g.,    a 10/10 Elemental Damage will be +484%, </t>
  </si>
  <si>
    <t>(on the same piece of equipment)</t>
  </si>
  <si>
    <t>Physical Resistance being the exception</t>
  </si>
  <si>
    <t>While leveling equipment stats, specific stats increase more than generic stats.</t>
  </si>
  <si>
    <t>#1 Transmute Attributes - Get the attributes you want first</t>
  </si>
  <si>
    <t>#2 Nemesis Infusion - Roll the dice and see if you like the outcome</t>
  </si>
  <si>
    <t>#4 Upgrade - Add Sockets, Attribute Levels, &amp; Paragon Levels</t>
  </si>
  <si>
    <t>Order Of Operations At The Blacksmith:</t>
  </si>
  <si>
    <t>At Equipment Level 150</t>
  </si>
  <si>
    <t xml:space="preserve">Yes. </t>
  </si>
  <si>
    <t>Continue to #4</t>
  </si>
  <si>
    <t>No.</t>
  </si>
  <si>
    <t>Stop and save your materials</t>
  </si>
  <si>
    <t>#3 Continue or Stop - Do you like the Nemesis Infusion outcome?</t>
  </si>
  <si>
    <t>If you have an idea on how to make something look better, feel free to let me know</t>
  </si>
  <si>
    <t>Ah, I see you’ve peered into the void. Welcome back. I also understand that you know Excel better than the average person. Good for you (seriously).</t>
  </si>
  <si>
    <t>How are you?</t>
  </si>
  <si>
    <t>Thus saith god (ArrowSoft on Discord)</t>
  </si>
  <si>
    <t>Read in scripture (In Game Glossary)</t>
  </si>
  <si>
    <t>Enlightenment through prayer (DM from ArrowSoft)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</si>
</sst>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rgb="FF00B0F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gradientFill>
        <stop position="0">
          <color rgb="FF92D050"/>
        </stop>
        <stop position="1">
          <color rgb="FF00B0F0"/>
        </stop>
      </gradientFill>
    </fill>
    <fill>
      <gradientFill>
        <stop position="0">
          <color rgb="FF00B0F0"/>
        </stop>
        <stop position="1">
          <color rgb="FF92D050"/>
        </stop>
      </gradientFill>
    </fill>
  </fills>
  <borders count="4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/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15">
    <xf numFmtId="0" fontId="0" fillId="0" borderId="0" xfId="0"/>
    <xf numFmtId="9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7" fillId="0" borderId="0" xfId="2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quotePrefix="1" applyBorder="1"/>
    <xf numFmtId="0" fontId="0" fillId="0" borderId="12" xfId="0" quotePrefix="1" applyBorder="1"/>
    <xf numFmtId="0" fontId="0" fillId="0" borderId="13" xfId="0" quotePrefix="1" applyBorder="1"/>
    <xf numFmtId="0" fontId="0" fillId="0" borderId="2" xfId="0" applyBorder="1"/>
    <xf numFmtId="0" fontId="0" fillId="0" borderId="3" xfId="0" applyBorder="1"/>
    <xf numFmtId="0" fontId="8" fillId="0" borderId="0" xfId="2" applyFont="1"/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9" fillId="0" borderId="0" xfId="0" applyFont="1"/>
    <xf numFmtId="9" fontId="6" fillId="0" borderId="0" xfId="1" applyFont="1" applyFill="1" applyBorder="1" applyAlignment="1">
      <alignment horizontal="center" vertical="center"/>
    </xf>
    <xf numFmtId="0" fontId="0" fillId="0" borderId="1" xfId="0" applyBorder="1"/>
    <xf numFmtId="0" fontId="0" fillId="4" borderId="0" xfId="0" applyFill="1"/>
    <xf numFmtId="0" fontId="0" fillId="5" borderId="0" xfId="0" applyFill="1"/>
    <xf numFmtId="0" fontId="0" fillId="5" borderId="0" xfId="0" quotePrefix="1" applyFill="1"/>
    <xf numFmtId="0" fontId="0" fillId="5" borderId="0" xfId="0" applyFill="1" applyAlignment="1">
      <alignment horizontal="right"/>
    </xf>
    <xf numFmtId="9" fontId="0" fillId="5" borderId="0" xfId="0" applyNumberFormat="1" applyFill="1" applyAlignment="1">
      <alignment horizontal="right"/>
    </xf>
    <xf numFmtId="0" fontId="6" fillId="0" borderId="11" xfId="0" applyFont="1" applyBorder="1" applyAlignment="1">
      <alignment horizontal="right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65" fontId="0" fillId="0" borderId="0" xfId="0" quotePrefix="1" applyNumberFormat="1" applyAlignment="1">
      <alignment horizontal="left"/>
    </xf>
    <xf numFmtId="0" fontId="6" fillId="0" borderId="8" xfId="0" applyFont="1" applyBorder="1" applyAlignment="1">
      <alignment vertical="center"/>
    </xf>
    <xf numFmtId="166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0" borderId="7" xfId="0" applyBorder="1"/>
    <xf numFmtId="0" fontId="0" fillId="0" borderId="2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27" xfId="0" applyBorder="1"/>
    <xf numFmtId="0" fontId="0" fillId="3" borderId="27" xfId="0" applyFill="1" applyBorder="1"/>
    <xf numFmtId="164" fontId="0" fillId="3" borderId="27" xfId="0" applyNumberFormat="1" applyFill="1" applyBorder="1"/>
    <xf numFmtId="0" fontId="0" fillId="2" borderId="27" xfId="0" applyFill="1" applyBorder="1"/>
    <xf numFmtId="164" fontId="0" fillId="2" borderId="27" xfId="0" applyNumberFormat="1" applyFill="1" applyBorder="1"/>
    <xf numFmtId="164" fontId="0" fillId="0" borderId="27" xfId="0" applyNumberFormat="1" applyBorder="1"/>
    <xf numFmtId="0" fontId="0" fillId="0" borderId="31" xfId="0" applyBorder="1"/>
    <xf numFmtId="0" fontId="0" fillId="0" borderId="32" xfId="0" applyBorder="1"/>
    <xf numFmtId="164" fontId="0" fillId="3" borderId="32" xfId="0" applyNumberFormat="1" applyFill="1" applyBorder="1"/>
    <xf numFmtId="164" fontId="0" fillId="2" borderId="32" xfId="0" applyNumberFormat="1" applyFill="1" applyBorder="1"/>
    <xf numFmtId="164" fontId="0" fillId="0" borderId="32" xfId="0" applyNumberFormat="1" applyBorder="1"/>
    <xf numFmtId="0" fontId="0" fillId="3" borderId="32" xfId="0" applyFill="1" applyBorder="1"/>
    <xf numFmtId="0" fontId="0" fillId="2" borderId="32" xfId="0" applyFill="1" applyBorder="1"/>
    <xf numFmtId="0" fontId="0" fillId="0" borderId="34" xfId="0" applyBorder="1"/>
    <xf numFmtId="0" fontId="0" fillId="0" borderId="35" xfId="0" applyBorder="1"/>
    <xf numFmtId="0" fontId="4" fillId="0" borderId="8" xfId="0" applyFont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4" fillId="0" borderId="0" xfId="0" applyFont="1" applyAlignment="1">
      <alignment horizontal="left"/>
    </xf>
    <xf numFmtId="0" fontId="0" fillId="0" borderId="0" xfId="0" quotePrefix="1" applyAlignment="1">
      <alignment vertical="center" wrapText="1"/>
    </xf>
    <xf numFmtId="9" fontId="6" fillId="7" borderId="1" xfId="1" applyFont="1" applyFill="1" applyBorder="1" applyAlignment="1">
      <alignment horizontal="center" vertical="center"/>
    </xf>
    <xf numFmtId="9" fontId="6" fillId="7" borderId="0" xfId="1" applyFont="1" applyFill="1" applyBorder="1" applyAlignment="1">
      <alignment horizontal="center" vertical="center"/>
    </xf>
    <xf numFmtId="9" fontId="6" fillId="6" borderId="0" xfId="1" applyFont="1" applyFill="1" applyBorder="1" applyAlignment="1">
      <alignment horizontal="center" vertic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6" borderId="0" xfId="0" applyFill="1"/>
    <xf numFmtId="0" fontId="0" fillId="6" borderId="0" xfId="0" applyFill="1" applyAlignment="1">
      <alignment horizontal="right"/>
    </xf>
    <xf numFmtId="0" fontId="0" fillId="7" borderId="2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19" xfId="0" applyFill="1" applyBorder="1"/>
    <xf numFmtId="0" fontId="0" fillId="8" borderId="11" xfId="0" applyFill="1" applyBorder="1"/>
    <xf numFmtId="0" fontId="0" fillId="8" borderId="24" xfId="0" applyFill="1" applyBorder="1"/>
    <xf numFmtId="0" fontId="0" fillId="8" borderId="7" xfId="0" applyFill="1" applyBorder="1"/>
    <xf numFmtId="164" fontId="0" fillId="8" borderId="13" xfId="1" applyNumberFormat="1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7" xfId="0" applyFill="1" applyBorder="1" applyProtection="1">
      <protection locked="0"/>
    </xf>
    <xf numFmtId="9" fontId="0" fillId="9" borderId="18" xfId="0" applyNumberFormat="1" applyFill="1" applyBorder="1" applyProtection="1">
      <protection locked="0"/>
    </xf>
    <xf numFmtId="9" fontId="0" fillId="9" borderId="18" xfId="1" applyFont="1" applyFill="1" applyBorder="1" applyProtection="1">
      <protection locked="0"/>
    </xf>
    <xf numFmtId="9" fontId="0" fillId="0" borderId="18" xfId="1" applyFont="1" applyBorder="1" applyProtection="1">
      <protection locked="0"/>
    </xf>
    <xf numFmtId="9" fontId="0" fillId="7" borderId="18" xfId="1" applyFont="1" applyFill="1" applyBorder="1" applyProtection="1">
      <protection locked="0"/>
    </xf>
    <xf numFmtId="9" fontId="0" fillId="7" borderId="15" xfId="0" applyNumberFormat="1" applyFill="1" applyBorder="1" applyProtection="1">
      <protection locked="0"/>
    </xf>
    <xf numFmtId="9" fontId="0" fillId="9" borderId="20" xfId="1" applyFont="1" applyFill="1" applyBorder="1" applyProtection="1">
      <protection locked="0"/>
    </xf>
    <xf numFmtId="9" fontId="0" fillId="9" borderId="25" xfId="1" applyFont="1" applyFill="1" applyBorder="1" applyProtection="1">
      <protection locked="0"/>
    </xf>
    <xf numFmtId="9" fontId="0" fillId="9" borderId="17" xfId="0" applyNumberFormat="1" applyFill="1" applyBorder="1" applyProtection="1">
      <protection locked="0"/>
    </xf>
    <xf numFmtId="9" fontId="0" fillId="9" borderId="16" xfId="0" applyNumberFormat="1" applyFill="1" applyBorder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6" fillId="7" borderId="2" xfId="0" applyFont="1" applyFill="1" applyBorder="1" applyAlignment="1" applyProtection="1">
      <alignment vertical="center"/>
      <protection locked="0"/>
    </xf>
    <xf numFmtId="0" fontId="6" fillId="6" borderId="3" xfId="0" applyFont="1" applyFill="1" applyBorder="1" applyAlignment="1" applyProtection="1">
      <alignment vertical="center"/>
      <protection locked="0"/>
    </xf>
    <xf numFmtId="0" fontId="6" fillId="7" borderId="1" xfId="0" applyFont="1" applyFill="1" applyBorder="1" applyAlignment="1" applyProtection="1">
      <alignment vertical="center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6" fillId="6" borderId="3" xfId="0" applyFont="1" applyFill="1" applyBorder="1" applyAlignment="1" applyProtection="1">
      <alignment horizontal="center" vertical="center"/>
      <protection locked="0"/>
    </xf>
    <xf numFmtId="0" fontId="0" fillId="0" borderId="31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0" xfId="0" applyProtection="1">
      <protection locked="0"/>
    </xf>
    <xf numFmtId="0" fontId="0" fillId="0" borderId="26" xfId="0" applyBorder="1" applyProtection="1">
      <protection locked="0"/>
    </xf>
    <xf numFmtId="0" fontId="6" fillId="0" borderId="13" xfId="0" applyFont="1" applyBorder="1" applyAlignment="1" applyProtection="1">
      <alignment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5"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gradientFill>
          <stop position="0">
            <color rgb="FF92D050"/>
          </stop>
          <stop position="1">
            <color rgb="FF00B0F0"/>
          </stop>
        </gradientFill>
      </fill>
    </dxf>
    <dxf>
      <fill>
        <patternFill patternType="darkUp">
          <bgColor theme="1" tint="0.49998474074526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6</xdr:col>
      <xdr:colOff>430696</xdr:colOff>
      <xdr:row>58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FC1636-3B0F-D531-F42A-AE4A76DD0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9715500"/>
          <a:ext cx="3478696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V4uV3icrmw0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.wikipedia.org/wiki/Rubber_duck_debu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B3"/>
  <sheetViews>
    <sheetView workbookViewId="0">
      <selection activeCell="A3" sqref="A3"/>
    </sheetView>
  </sheetViews>
  <sheetFormatPr defaultRowHeight="15" x14ac:dyDescent="0.25"/>
  <cols>
    <col min="1" max="1" width="16.28515625" bestFit="1" customWidth="1"/>
  </cols>
  <sheetData>
    <row r="1" spans="1:2" x14ac:dyDescent="0.25">
      <c r="A1" t="s">
        <v>1</v>
      </c>
      <c r="B1" t="s">
        <v>2</v>
      </c>
    </row>
    <row r="2" spans="1:2" x14ac:dyDescent="0.25">
      <c r="A2" t="s">
        <v>3</v>
      </c>
      <c r="B2" t="s">
        <v>4</v>
      </c>
    </row>
    <row r="3" spans="1:2" x14ac:dyDescent="0.25">
      <c r="A3" t="s">
        <v>5</v>
      </c>
      <c r="B3" t="s">
        <v>31</v>
      </c>
    </row>
  </sheetData>
  <sheetProtection password="CCFD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I55"/>
  <sheetViews>
    <sheetView tabSelected="1" workbookViewId="0">
      <selection activeCell="F21" sqref="F21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19.42578125" bestFit="1" customWidth="1"/>
    <col min="4" max="4" width="14.85546875" bestFit="1" customWidth="1"/>
    <col min="5" max="5" width="17" customWidth="1"/>
    <col min="6" max="6" width="31.42578125" bestFit="1" customWidth="1"/>
    <col min="7" max="7" width="140.7109375" customWidth="1"/>
    <col min="9" max="9" width="7.140625" bestFit="1" customWidth="1"/>
  </cols>
  <sheetData>
    <row r="1" spans="1:9" ht="15" customHeight="1" x14ac:dyDescent="0.25">
      <c r="A1" s="6" t="s">
        <v>60</v>
      </c>
      <c r="B1" s="97" t="s">
        <v>61</v>
      </c>
      <c r="C1" s="5"/>
      <c r="D1" s="8" t="s">
        <v>143</v>
      </c>
      <c r="E1" s="8" t="s">
        <v>148</v>
      </c>
      <c r="F1" s="3" t="s">
        <v>137</v>
      </c>
      <c r="G1" s="72" t="str">
        <f>CONCATENATE(B2," ",C2)</f>
        <v>Quick Slash With Fire</v>
      </c>
    </row>
    <row r="2" spans="1:9" ht="15" customHeight="1" x14ac:dyDescent="0.25">
      <c r="A2" s="6" t="s">
        <v>77</v>
      </c>
      <c r="B2" s="98" t="s">
        <v>38</v>
      </c>
      <c r="C2" s="100" t="s">
        <v>131</v>
      </c>
      <c r="D2" s="101">
        <v>30</v>
      </c>
      <c r="E2" s="25">
        <f>1+(D2*2)%</f>
        <v>1.6</v>
      </c>
      <c r="F2" s="3"/>
      <c r="G2" s="4" t="str">
        <f ca="1">IFERROR(INDEX(INDIRECT(CONCATENATE(SUBSTITUTE(B2," ",""),"Formulas")),MATCH(C2,INDIRECT(SUBSTITUTE(B2," ","")),0)),"Be sure to fill out the Default Attack completely")</f>
        <v>Melee Damage, Fire Damage, Elemental Damage, Direct Damage</v>
      </c>
    </row>
    <row r="3" spans="1:9" ht="15" customHeight="1" x14ac:dyDescent="0.25">
      <c r="A3" s="6" t="s">
        <v>78</v>
      </c>
      <c r="B3" s="99" t="s">
        <v>124</v>
      </c>
      <c r="C3" s="99" t="s">
        <v>131</v>
      </c>
      <c r="D3" s="102">
        <v>22</v>
      </c>
      <c r="E3" s="25">
        <f>1+(D3*2)%</f>
        <v>1.44</v>
      </c>
      <c r="F3" s="71" t="s">
        <v>225</v>
      </c>
      <c r="G3" s="4" t="str">
        <f ca="1">IFERROR("(((("&amp;IF(B8="One Handed",B10&amp;" + "&amp;C10&amp;" + "&amp;B12&amp;" + "&amp;C12&amp;") / 4)",B10&amp;" + "&amp;C10&amp;") / 2)") &amp; " * " &amp; B5*100 &amp; "%) + "&amp; IF(B17=0,0,B17) &amp; ") * ("    &amp;    B22 * 100 &amp; "% + " &amp; IFERROR(IF(INDEX(B17:B36,MATCH(Hidden!A28,'Character Offensive Stats'!A17:A36,0))&lt;&gt;0,INDEX(B17:B36,MATCH(Hidden!A28,'Character Offensive Stats'!A17:A36,0)) * 100 &amp; "%","0%"),"") &amp; IFERROR(IF(INDEX(B17:B36,MATCH(Hidden!B28,'Character Offensive Stats'!A17:A36,0))&lt;&gt;0," + " &amp; INDEX(B17:B36,MATCH(Hidden!B28,'Character Offensive Stats'!A17:A36,0)) * 100 &amp; "%"," + 0%"),"") &amp; IFERROR(IF(INDEX(B17:B36,MATCH(Hidden!C28,'Character Offensive Stats'!A17:A36,0))&lt;&gt;0," + " &amp; INDEX(B17:B36,MATCH(Hidden!C28,'Character Offensive Stats'!A17:A36,0)) * 100 &amp; "%"," + 0%"),"") &amp; IFERROR(IF(INDEX(B17:B36,MATCH(Hidden!D28,'Character Offensive Stats'!A17:A36,0))&lt;&gt;0," + " &amp; INDEX(B17:B36,MATCH(Hidden!D28,'Character Offensive Stats'!A17:A36,0)) * 100 &amp; "%"," + 0%"),"") &amp; IFERROR(IF(INDEX(B17:B36,MATCH(Hidden!E28,'Character Offensive Stats'!A17:A36,0))&lt;&gt;0," + " &amp; INDEX(B17:B36,MATCH(Hidden!E28,'Character Offensive Stats'!A17:A36,0)) * 100 &amp; "%"," + 0%"),"") &amp; IFERROR(IF(INDEX(B17:B36,MATCH(Hidden!F28,'Character Offensive Stats'!A17:A36,0))&lt;&gt;0," + " &amp; INDEX(B17:B36,MATCH(Hidden!F28,'Character Offensive Stats'!A17:A36,0)) * 100 &amp; "%"," + 0%"),"") &amp; IFERROR(IF(INDEX(B17:B36,MATCH(Hidden!G28,'Character Offensive Stats'!A17:A36,0))&lt;&gt;0," + " &amp; INDEX(B17:B36,MATCH(Hidden!G28,'Character Offensive Stats'!A17:A36,0)) * 100 &amp; "%"," + 0%"),"") &amp; IFERROR(IF(INDEX(B17:B36,MATCH(Hidden!H28,'Character Offensive Stats'!A17:A36,0))&lt;&gt;0," + " &amp; INDEX(B17:B36,MATCH(Hidden!H28,'Character Offensive Stats'!A17:A36,0)) * 100 &amp; "%"," + 0%"),"") &amp; IFERROR(IF(INDEX(B17:B36,MATCH(Hidden!I28,'Character Offensive Stats'!A17:A36,0))&lt;&gt;0," + " &amp; INDEX(B17:B36,MATCH(Hidden!I28,'Character Offensive Stats'!A17:A36,0)) * 100 &amp; "%"," + 0%"),"") &amp; IFERROR(IF(INDEX(B17:B36,MATCH(Hidden!J28,'Character Offensive Stats'!A17:A36,0))&lt;&gt;0," + " &amp; INDEX(B17:B36,MATCH(Hidden!J28,'Character Offensive Stats'!A17:A36,0)) * 100 &amp; "%"," + 0%"),"") &amp; ") * ("    &amp;    (D2*2)+100 &amp; "% * " &amp; B18*100 &amp; "%" &amp; IF(B19&gt;100%," * " &amp; B19*100 &amp; "%","") &amp; IF(B20&gt;100%," * " &amp; B20*100 &amp; "%","") &amp; ") * " &amp;IF(AND(B37&gt;0,B38&gt;0),"(("&amp;100+(B38*100)&amp;"%) * (1 + ("&amp;B37*100&amp;"% * ("&amp;100-(B38*100)&amp;"%)))) * ",IF(B37&gt;0,"("&amp;100+(B37*100)&amp;"%) * ",IF(AND(B37=0,B38&gt;0),"("&amp;100+(B38*100)&amp;"%) * ","")))&amp;"(" &amp; C36*100 &amp; "%)","Be sure to fill out the Default Attack completely")</f>
        <v>((((18 + 24 + 0 + 0) / 4) * 100%) + 0) * (100% + 0% + 0% + 0%) * (160% * 100%) * (102.5%)</v>
      </c>
    </row>
    <row r="4" spans="1:9" ht="15" customHeight="1" x14ac:dyDescent="0.25">
      <c r="A4" s="7"/>
      <c r="B4" s="7"/>
      <c r="C4" s="7"/>
      <c r="D4" s="7"/>
      <c r="F4" s="71" t="s">
        <v>226</v>
      </c>
      <c r="G4" s="4">
        <f ca="1">IFERROR(((IF(B8="One Handed",AVERAGE(B10:C10,B12:C12),AVERAGE(B10:C10))*B5)+B17)*(CELL("contents",INDIRECT("Hidden!"&amp;ADDRESS(CELL("row",INDEX(INDIRECT(CONCATENATE(SUBSTITUTE(B2," ",""),"Formulas")),MATCH(C2,INDIRECT(SUBSTITUTE(B2," ","")),0))),CELL("col",INDEX(INDIRECT(CONCATENATE(SUBSTITUTE(B2," ",""),"Formulas")),MATCH(C2,INDIRECT(SUBSTITUTE(B2," ","")),0)))+1))))*(E2*B18)*((1+B38)*(1+(B37*(1-B38))))*(C36),"Be sure to fill out the Default Attack completely")</f>
        <v>17.22</v>
      </c>
    </row>
    <row r="5" spans="1:9" ht="15" customHeight="1" x14ac:dyDescent="0.25">
      <c r="A5" s="6" t="s">
        <v>281</v>
      </c>
      <c r="B5" s="68">
        <f ca="1">IFERROR(CELL("contents",INDIRECT("Hidden!"&amp;ADDRESS(CELL("row",INDEX(INDIRECT(CONCATENATE(SUBSTITUTE(B2," ",""),"Formulas")),1))-1,3))),"Fill in everything")</f>
        <v>1</v>
      </c>
      <c r="C5" s="70">
        <f ca="1">IFERROR(CELL("contents",INDIRECT("Hidden!"&amp;ADDRESS(CELL("row",INDEX(INDIRECT(CONCATENATE(SUBSTITUTE(B3," ",""),"Formulas")),1))-1,3))),"Fill in everything")</f>
        <v>2</v>
      </c>
      <c r="F5" s="71" t="s">
        <v>233</v>
      </c>
      <c r="G5" s="4" t="str">
        <f ca="1">IFERROR(IF(B8="One Handed","(Average ","(") &amp; "Weapon Atk Speed * "&amp;B6*100&amp;"%) / Attack Speed Multiplier / (1 + Attack Speed)","Be sure to fill out the Default Attack completely")</f>
        <v>(Average Weapon Atk Speed * 100%) / Attack Speed Multiplier / (1 + Attack Speed)</v>
      </c>
    </row>
    <row r="6" spans="1:9" ht="15" customHeight="1" x14ac:dyDescent="0.25">
      <c r="A6" s="6" t="s">
        <v>282</v>
      </c>
      <c r="B6" s="69">
        <f ca="1">IFERROR(CELL("contents",INDIRECT("Hidden!"&amp;ADDRESS(CELL("row",INDEX(INDIRECT(CONCATENATE(SUBSTITUTE(B2," ",""),"Formulas")),1))*1,3))),"Fill in everything")</f>
        <v>1</v>
      </c>
      <c r="F6" s="71" t="s">
        <v>234</v>
      </c>
      <c r="G6" s="35">
        <f ca="1">IFERROR((IF(B8="One Handed",(AVERAGE(D10,D12)*1.2),D10)*B6)/B34/(1+B33),"Be sure to fill out the Default Attack completely")</f>
        <v>1.44</v>
      </c>
    </row>
    <row r="7" spans="1:9" ht="15" customHeight="1" x14ac:dyDescent="0.25">
      <c r="F7" s="71" t="s">
        <v>235</v>
      </c>
      <c r="G7" s="2" t="s">
        <v>232</v>
      </c>
    </row>
    <row r="8" spans="1:9" ht="15" customHeight="1" thickBot="1" x14ac:dyDescent="0.3">
      <c r="A8" s="6" t="s">
        <v>242</v>
      </c>
      <c r="B8" s="95" t="s">
        <v>241</v>
      </c>
      <c r="C8" s="8" t="s">
        <v>240</v>
      </c>
      <c r="F8" s="71" t="s">
        <v>236</v>
      </c>
      <c r="G8" s="4">
        <f ca="1">IFERROR(G4/G6,"Be sure to fill out the Default Attack completely")</f>
        <v>11.958333333333332</v>
      </c>
    </row>
    <row r="9" spans="1:9" ht="15" customHeight="1" x14ac:dyDescent="0.25">
      <c r="A9" s="36" t="s">
        <v>243</v>
      </c>
      <c r="B9" s="33" t="s">
        <v>141</v>
      </c>
      <c r="C9" s="33" t="s">
        <v>142</v>
      </c>
      <c r="D9" s="34" t="s">
        <v>46</v>
      </c>
    </row>
    <row r="10" spans="1:9" ht="15" customHeight="1" thickBot="1" x14ac:dyDescent="0.3">
      <c r="A10" s="32" t="s">
        <v>144</v>
      </c>
      <c r="B10" s="96">
        <v>18</v>
      </c>
      <c r="C10" s="96">
        <v>24</v>
      </c>
      <c r="D10" s="107">
        <v>2.4</v>
      </c>
      <c r="F10" s="3" t="s">
        <v>137</v>
      </c>
      <c r="G10" s="73" t="str">
        <f>CONCATENATE(B3," ",C3)</f>
        <v>Earthquake With Fire</v>
      </c>
    </row>
    <row r="11" spans="1:9" ht="15" customHeight="1" x14ac:dyDescent="0.25">
      <c r="A11" s="36" t="s">
        <v>244</v>
      </c>
      <c r="B11" s="33" t="s">
        <v>141</v>
      </c>
      <c r="C11" s="33" t="s">
        <v>142</v>
      </c>
      <c r="D11" s="34" t="s">
        <v>46</v>
      </c>
      <c r="F11" s="3"/>
      <c r="G11" s="4" t="str">
        <f ca="1">IFERROR(INDEX(INDIRECT(CONCATENATE(SUBSTITUTE(B3," ",""),"Formulas")),MATCH(C3,INDIRECT(SUBSTITUTE(B3," ","")),0)),"Be sure to fill out the Offensive Move completely")</f>
        <v>Fire Damage, Elemental Damage, Area Damage</v>
      </c>
    </row>
    <row r="12" spans="1:9" ht="15" customHeight="1" thickBot="1" x14ac:dyDescent="0.3">
      <c r="A12" s="32" t="s">
        <v>144</v>
      </c>
      <c r="B12" s="96">
        <v>0</v>
      </c>
      <c r="C12" s="96">
        <v>0</v>
      </c>
      <c r="D12" s="107">
        <v>0</v>
      </c>
      <c r="F12" s="74" t="s">
        <v>225</v>
      </c>
      <c r="G12" s="4" t="str">
        <f ca="1">IFERROR("(((("&amp;IF(B8="One Handed",B10&amp;" + "&amp;C10&amp;" + "&amp;B12&amp;" + "&amp;C12&amp;") / 4)",B10&amp;" + "&amp;C10&amp;") / 2)") &amp; " * " &amp; C5*100 &amp; "%) + "&amp; IF(B17=0,0,B17) &amp; ") * ("    &amp;    B22 * 100 &amp; "% + " &amp; IFERROR(IF(INDEX(B17:B36,MATCH(Hidden!A30,'Character Offensive Stats'!A17:A36,0))&lt;&gt;0,INDEX(B17:B36,MATCH(Hidden!A30,'Character Offensive Stats'!A17:A36,0)) * 100 &amp; "%","0%"),"") &amp; IFERROR(IF(INDEX(B17:B36,MATCH(Hidden!B30,'Character Offensive Stats'!A17:A36,0))&lt;&gt;0," + " &amp; INDEX(B17:B36,MATCH(Hidden!B30,'Character Offensive Stats'!A17:A36,0)) * 100 &amp; "%"," + 0%"),"") &amp; IFERROR(IF(INDEX(B17:B36,MATCH(Hidden!C30,'Character Offensive Stats'!A17:A36,0))&lt;&gt;0," + " &amp; INDEX(B17:B36,MATCH(Hidden!C30,'Character Offensive Stats'!A17:A36,0)) * 100 &amp; "%"," + 0%"),"") &amp; IFERROR(IF(INDEX(B17:B36,MATCH(Hidden!D30,'Character Offensive Stats'!A17:A36,0))&lt;&gt;0," + " &amp; INDEX(B17:B36,MATCH(Hidden!D30,'Character Offensive Stats'!A17:A36,0)) * 100 &amp; "%"," + 0%"),"") &amp; IFERROR(IF(INDEX(B17:B36,MATCH(Hidden!E30,'Character Offensive Stats'!A17:A36,0))&lt;&gt;0," + " &amp; INDEX(B17:B36,MATCH(Hidden!E30,'Character Offensive Stats'!A17:A36,0)) * 100 &amp; "%"," + 0%"),"") &amp; IFERROR(IF(INDEX(B17:B36,MATCH(Hidden!F30,'Character Offensive Stats'!A17:A36,0))&lt;&gt;0," + " &amp; INDEX(B17:B36,MATCH(Hidden!F30,'Character Offensive Stats'!A17:A36,0)) * 100 &amp; "%"," + 0%"),"") &amp; IFERROR(IF(INDEX(B17:B36,MATCH(Hidden!G30,'Character Offensive Stats'!A17:A36,0))&lt;&gt;0," + " &amp; INDEX(B17:B36,MATCH(Hidden!G30,'Character Offensive Stats'!A17:A36,0)) * 100 &amp; "%"," + 0%"),"") &amp; IFERROR(IF(INDEX(B17:B36,MATCH(Hidden!H30,'Character Offensive Stats'!A17:A36,0))&lt;&gt;0," + " &amp; INDEX(B17:B36,MATCH(Hidden!H30,'Character Offensive Stats'!A17:A36,0)) * 100 &amp; "%"," + 0%"),"") &amp; IFERROR(IF(INDEX(B17:B36,MATCH(Hidden!I30,'Character Offensive Stats'!A17:A36,0))&lt;&gt;0," + " &amp; INDEX(B17:B36,MATCH(Hidden!I30,'Character Offensive Stats'!A17:A36,0)) * 100 &amp; "%"," + 0%"),"") &amp; IFERROR(IF(INDEX(B17:B36,MATCH(Hidden!J30,'Character Offensive Stats'!A17:A36,0))&lt;&gt;0," + " &amp; INDEX(B17:B36,MATCH(Hidden!J30,'Character Offensive Stats'!A17:A36,0)) * 100 &amp; "%"," + 0%"),"") &amp; ") * ("    &amp;    (D3*2)+100 &amp; "% * " &amp; B18*100 &amp; "%" &amp; IF(B19&gt;100%," * " &amp; B19*100 &amp; "%","") &amp; IF(B20&gt;100%," * " &amp; B20*100 &amp; "%","") &amp; ") * " &amp;IF(AND(B37&gt;0,B38&gt;0),"(("&amp;100+(B38*100)&amp;"%) * (1 + ("&amp;B37*100&amp;"% * ("&amp;100-(B38*100)&amp;"%)))) * ",IF(B37&gt;0,"("&amp;100+(B37*100)&amp;"%) * ",IF(AND(B37=0,B38&gt;0),"("&amp;100+(B38*100)&amp;"%) * ","")))&amp;"(" &amp; C36*100 &amp; "%)","Be sure to fill out the Offensive Move completely")</f>
        <v>((((18 + 24 + 0 + 0) / 4) * 200%) + 0) * (100% + 0% + 0%) * (144% * 100%) * (102.5%)</v>
      </c>
    </row>
    <row r="13" spans="1:9" ht="15" customHeight="1" x14ac:dyDescent="0.25">
      <c r="F13" s="74" t="s">
        <v>226</v>
      </c>
      <c r="G13" s="4">
        <f ca="1">IFERROR(((IF(B8="One Handed",AVERAGE(B10:C10,B12:C12),AVERAGE(B10:C10))*C5)+B17)*(CELL("contents",INDIRECT("Hidden!"&amp;ADDRESS(CELL("row",INDEX(INDIRECT(CONCATENATE(SUBSTITUTE(B3," ",""),"Formulas")),MATCH(C3,INDIRECT(SUBSTITUTE(B3," ","")),0))),CELL("col",INDEX(INDIRECT(CONCATENATE(SUBSTITUTE(B3," ",""),"Formulas")),MATCH(C3,INDIRECT(SUBSTITUTE(B3," ","")),0)))+1))))*(E3*B18)*((1+B38)*(1+(B37*(1-B38))))*(C36),"Be sure to fill out the Offensive Move completely")</f>
        <v>30.995999999999995</v>
      </c>
    </row>
    <row r="14" spans="1:9" ht="15" customHeight="1" thickBot="1" x14ac:dyDescent="0.3">
      <c r="A14" s="24" t="s">
        <v>147</v>
      </c>
      <c r="B14" s="24"/>
      <c r="I14" s="2"/>
    </row>
    <row r="15" spans="1:9" ht="15" customHeight="1" x14ac:dyDescent="0.25">
      <c r="A15" t="s">
        <v>59</v>
      </c>
      <c r="B15" s="22" t="s">
        <v>146</v>
      </c>
    </row>
    <row r="16" spans="1:9" x14ac:dyDescent="0.25">
      <c r="B16" s="23" t="s">
        <v>145</v>
      </c>
    </row>
    <row r="17" spans="1:6" ht="15" customHeight="1" x14ac:dyDescent="0.25">
      <c r="A17" s="76" t="s">
        <v>16</v>
      </c>
      <c r="B17" s="85">
        <v>0</v>
      </c>
      <c r="F17" s="37"/>
    </row>
    <row r="18" spans="1:6" ht="15" customHeight="1" x14ac:dyDescent="0.25">
      <c r="A18" s="77" t="s">
        <v>17</v>
      </c>
      <c r="B18" s="86">
        <v>1</v>
      </c>
      <c r="C18" t="s">
        <v>246</v>
      </c>
    </row>
    <row r="19" spans="1:6" ht="15" customHeight="1" x14ac:dyDescent="0.25">
      <c r="A19" s="77" t="s">
        <v>251</v>
      </c>
      <c r="B19" s="86">
        <v>1</v>
      </c>
      <c r="C19" t="s">
        <v>246</v>
      </c>
      <c r="F19" s="37"/>
    </row>
    <row r="20" spans="1:6" ht="15" customHeight="1" x14ac:dyDescent="0.25">
      <c r="A20" s="77" t="s">
        <v>250</v>
      </c>
      <c r="B20" s="86">
        <v>1</v>
      </c>
      <c r="C20" t="s">
        <v>246</v>
      </c>
    </row>
    <row r="21" spans="1:6" ht="15" customHeight="1" x14ac:dyDescent="0.25">
      <c r="A21" s="77" t="s">
        <v>53</v>
      </c>
      <c r="B21" s="86">
        <v>1</v>
      </c>
      <c r="C21" t="s">
        <v>246</v>
      </c>
      <c r="F21" s="38"/>
    </row>
    <row r="22" spans="1:6" ht="15" customHeight="1" x14ac:dyDescent="0.25">
      <c r="A22" s="77" t="s">
        <v>18</v>
      </c>
      <c r="B22" s="87">
        <v>1</v>
      </c>
      <c r="C22" t="s">
        <v>246</v>
      </c>
    </row>
    <row r="23" spans="1:6" ht="15" customHeight="1" x14ac:dyDescent="0.25">
      <c r="A23" s="19" t="s">
        <v>19</v>
      </c>
      <c r="B23" s="88">
        <v>0</v>
      </c>
      <c r="C23" t="str">
        <f ca="1">IF(AND(B23&gt;0,ISERROR(VLOOKUP(A23,Hidden!$Q$1:$Q$10,1,FALSE))=TRUE),"&lt;&lt;&lt; Probably lost potential","")</f>
        <v/>
      </c>
    </row>
    <row r="24" spans="1:6" ht="15" customHeight="1" x14ac:dyDescent="0.25">
      <c r="A24" s="19" t="s">
        <v>20</v>
      </c>
      <c r="B24" s="88">
        <v>0</v>
      </c>
      <c r="C24" t="str">
        <f ca="1">IF(AND(B24&gt;0,ISERROR(VLOOKUP(A24,Hidden!$Q$1:$Q$10,1,FALSE))=TRUE),"&lt;&lt;&lt; Probably lost potential","")</f>
        <v/>
      </c>
    </row>
    <row r="25" spans="1:6" ht="15" customHeight="1" x14ac:dyDescent="0.25">
      <c r="A25" s="19" t="s">
        <v>58</v>
      </c>
      <c r="B25" s="88">
        <v>0</v>
      </c>
      <c r="C25" t="str">
        <f ca="1">IF(AND(B25&gt;0,ISERROR(VLOOKUP(A25,Hidden!$Q$1:$Q$10,1,FALSE))=TRUE),"&lt;&lt;&lt; Probably lost potential","")</f>
        <v/>
      </c>
    </row>
    <row r="26" spans="1:6" ht="15" customHeight="1" x14ac:dyDescent="0.25">
      <c r="A26" s="19" t="s">
        <v>21</v>
      </c>
      <c r="B26" s="88">
        <v>0</v>
      </c>
      <c r="C26" t="str">
        <f ca="1">IF(AND(B26&gt;0,ISERROR(VLOOKUP(A26,Hidden!$Q$1:$Q$10,1,FALSE))=TRUE),"&lt;&lt;&lt; Probably lost potential","")</f>
        <v/>
      </c>
    </row>
    <row r="27" spans="1:6" ht="15" customHeight="1" x14ac:dyDescent="0.25">
      <c r="A27" s="19" t="s">
        <v>22</v>
      </c>
      <c r="B27" s="88">
        <v>0</v>
      </c>
      <c r="C27" t="str">
        <f ca="1">IF(AND(B27&gt;0,ISERROR(VLOOKUP(A27,Hidden!$Q$1:$Q$10,1,FALSE))=TRUE),"&lt;&lt;&lt; Probably lost potential","")</f>
        <v/>
      </c>
    </row>
    <row r="28" spans="1:6" ht="15" customHeight="1" x14ac:dyDescent="0.25">
      <c r="A28" s="19" t="s">
        <v>23</v>
      </c>
      <c r="B28" s="88">
        <v>0</v>
      </c>
      <c r="C28" t="str">
        <f ca="1">IF(AND(B28&gt;0,ISERROR(VLOOKUP(A28,Hidden!$Q$1:$Q$10,1,FALSE))=TRUE),"&lt;&lt;&lt; Probably lost potential","")</f>
        <v/>
      </c>
    </row>
    <row r="29" spans="1:6" ht="15" customHeight="1" x14ac:dyDescent="0.25">
      <c r="A29" s="19" t="s">
        <v>54</v>
      </c>
      <c r="B29" s="88">
        <v>0</v>
      </c>
      <c r="C29" t="str">
        <f ca="1">IF(AND(B29&gt;0,ISERROR(VLOOKUP(A29,Hidden!$Q$1:$Q$10,1,FALSE))=TRUE),"&lt;&lt;&lt; Probably lost potential","")</f>
        <v/>
      </c>
    </row>
    <row r="30" spans="1:6" ht="15" customHeight="1" x14ac:dyDescent="0.25">
      <c r="A30" s="19" t="s">
        <v>24</v>
      </c>
      <c r="B30" s="88">
        <v>0</v>
      </c>
      <c r="C30" t="str">
        <f ca="1">IF(AND(B30&gt;0,ISERROR(VLOOKUP(A30,Hidden!$Q$1:$Q$10,1,FALSE))=TRUE),"&lt;&lt;&lt; Probably lost potential","")</f>
        <v/>
      </c>
    </row>
    <row r="31" spans="1:6" ht="15" customHeight="1" x14ac:dyDescent="0.25">
      <c r="A31" s="19" t="s">
        <v>55</v>
      </c>
      <c r="B31" s="88">
        <v>0</v>
      </c>
      <c r="C31" t="str">
        <f ca="1">IF(AND(B31&gt;0,ISERROR(VLOOKUP(A31,Hidden!$Q$1:$Q$10,1,FALSE))=TRUE),"&lt;&lt;&lt; Probably lost potential","")</f>
        <v/>
      </c>
      <c r="F31" s="2"/>
    </row>
    <row r="32" spans="1:6" ht="15" customHeight="1" x14ac:dyDescent="0.25">
      <c r="A32" s="19" t="s">
        <v>25</v>
      </c>
      <c r="B32" s="88">
        <v>0</v>
      </c>
      <c r="C32" t="str">
        <f ca="1">IF(AND(B32&gt;0,ISERROR(VLOOKUP(A32,Hidden!$Q$1:$Q$10,1,FALSE))=TRUE),"&lt;&lt;&lt; Probably lost potential","")</f>
        <v/>
      </c>
      <c r="F32" s="2"/>
    </row>
    <row r="33" spans="1:7" ht="15" customHeight="1" x14ac:dyDescent="0.25">
      <c r="A33" s="75" t="s">
        <v>26</v>
      </c>
      <c r="B33" s="89">
        <v>0</v>
      </c>
      <c r="G33" s="108" t="s">
        <v>227</v>
      </c>
    </row>
    <row r="34" spans="1:7" ht="15" customHeight="1" thickBot="1" x14ac:dyDescent="0.3">
      <c r="A34" s="72" t="s">
        <v>27</v>
      </c>
      <c r="B34" s="90">
        <v>1</v>
      </c>
      <c r="C34" t="s">
        <v>246</v>
      </c>
      <c r="E34" s="12"/>
      <c r="G34" s="108"/>
    </row>
    <row r="35" spans="1:7" ht="15" customHeight="1" x14ac:dyDescent="0.25">
      <c r="A35" s="78" t="s">
        <v>11</v>
      </c>
      <c r="B35" s="91">
        <v>0.05</v>
      </c>
      <c r="C35" s="83" t="s">
        <v>44</v>
      </c>
      <c r="G35" s="108"/>
    </row>
    <row r="36" spans="1:7" ht="15" customHeight="1" thickBot="1" x14ac:dyDescent="0.3">
      <c r="A36" s="79" t="s">
        <v>12</v>
      </c>
      <c r="B36" s="92">
        <v>1.5</v>
      </c>
      <c r="C36" s="82">
        <f>B35*(B36-1)+1</f>
        <v>1.0249999999999999</v>
      </c>
      <c r="D36" s="21"/>
      <c r="G36" s="108" t="s">
        <v>280</v>
      </c>
    </row>
    <row r="37" spans="1:7" ht="15" customHeight="1" x14ac:dyDescent="0.25">
      <c r="A37" s="80" t="s">
        <v>56</v>
      </c>
      <c r="B37" s="93">
        <v>0</v>
      </c>
      <c r="G37" s="108"/>
    </row>
    <row r="38" spans="1:7" ht="15.75" customHeight="1" thickBot="1" x14ac:dyDescent="0.3">
      <c r="A38" s="81" t="s">
        <v>57</v>
      </c>
      <c r="B38" s="94">
        <v>0</v>
      </c>
      <c r="G38" s="108"/>
    </row>
    <row r="48" spans="1:7" ht="15" customHeight="1" x14ac:dyDescent="0.25"/>
    <row r="49" spans="7:8" ht="15" customHeight="1" x14ac:dyDescent="0.25"/>
    <row r="50" spans="7:8" ht="15" customHeight="1" x14ac:dyDescent="0.25"/>
    <row r="51" spans="7:8" ht="15" customHeight="1" x14ac:dyDescent="0.25"/>
    <row r="52" spans="7:8" x14ac:dyDescent="0.25">
      <c r="H52" s="2"/>
    </row>
    <row r="53" spans="7:8" x14ac:dyDescent="0.25">
      <c r="G53" s="67"/>
    </row>
    <row r="54" spans="7:8" x14ac:dyDescent="0.25">
      <c r="G54" s="67"/>
    </row>
    <row r="55" spans="7:8" ht="15" customHeight="1" x14ac:dyDescent="0.25"/>
  </sheetData>
  <sheetProtection algorithmName="SHA-512" hashValue="xLcFE46K87/EmLY74g5OxWlFbZkMG/ROgSKWJtrt+QZ6J5TXALOpERNLLv78Ydk5D3cq9ZRXGgc018OOyfnupg==" saltValue="+6uvrb/Ikbjruwiga5J+7g==" spinCount="100000" sheet="1" objects="1" scenarios="1"/>
  <mergeCells count="2">
    <mergeCell ref="G33:G35"/>
    <mergeCell ref="G36:G38"/>
  </mergeCells>
  <conditionalFormatting sqref="A11:D12">
    <cfRule type="expression" dxfId="4" priority="1">
      <formula>$B$8="Two Handed"</formula>
    </cfRule>
  </conditionalFormatting>
  <dataValidations count="6">
    <dataValidation type="list" allowBlank="1" showInputMessage="1" showErrorMessage="1" sqref="B2" xr:uid="{00000000-0002-0000-0100-000000000000}">
      <formula1>IF(B1="Warrior",W_Defaults,IF(B1="Ranger",R_Defaults,M_Defaults))</formula1>
    </dataValidation>
    <dataValidation type="list" allowBlank="1" showInputMessage="1" showErrorMessage="1" sqref="B3" xr:uid="{00000000-0002-0000-0100-000001000000}">
      <formula1>IF(B1="Warrior",W_Offensive,IF(B1="Ranger",R_Offensive,M_Offensive))</formula1>
    </dataValidation>
    <dataValidation type="list" allowBlank="1" showInputMessage="1" showErrorMessage="1" sqref="C2:C3" xr:uid="{00000000-0002-0000-0100-000002000000}">
      <formula1>INDIRECT(SUBSTITUTE(B2," ",""))</formula1>
    </dataValidation>
    <dataValidation type="list" allowBlank="1" showInputMessage="1" showErrorMessage="1" sqref="D2:D3" xr:uid="{00000000-0002-0000-0100-000003000000}">
      <formula1>"0,1,2,3,4,5,6,7,8,9,10,11,12,13,14,15,16,17,18,19,20,21,22,23,24,25,26,27,28,29,30"</formula1>
    </dataValidation>
    <dataValidation allowBlank="1" showInputMessage="1" showErrorMessage="1" prompt="If just the 1st column is green, the row's value is affecting the Dmg of the selected skill._x000a__x000a_If both are green, the row's value is affecting the Dmg for *all of your skills._x000a__x000a_    *Except Attack Speed &amp; its Multiplier, which is for the default skill only." sqref="A14:B14" xr:uid="{00000000-0002-0000-0100-000004000000}"/>
    <dataValidation type="list" allowBlank="1" showInputMessage="1" showErrorMessage="1" sqref="B8" xr:uid="{00000000-0002-0000-0100-000005000000}">
      <formula1>"One Handed,Two Handed"</formula1>
    </dataValidation>
  </dataValidations>
  <hyperlinks>
    <hyperlink ref="D34:E34" r:id="rId1" display="&lt;&lt;&lt; https://youtu.be/V4uV3icrmw0" xr:uid="{00000000-0004-0000-0100-000000000000}"/>
  </hyperlinks>
  <pageMargins left="0.7" right="0.7" top="0.75" bottom="0.75" header="0.3" footer="0.3"/>
  <pageSetup orientation="portrait" r:id="rId2"/>
  <ignoredErrors>
    <ignoredError sqref="G13 G4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B9330D16-32CD-4AB6-8F4C-98F7E004D172}">
            <xm:f>AND(NOT(ISERROR(VLOOKUP($A23:$A32,Hidden!$Q$1:$Q$10,1,FALSE))),NOT(ISERROR(VLOOKUP($A23:$A32,Hidden!$R$1:$R$10,1,FALSE))))</xm:f>
            <x14:dxf>
              <fill>
                <gradientFill>
                  <stop position="0">
                    <color rgb="FF92D050"/>
                  </stop>
                  <stop position="1">
                    <color rgb="FF00B0F0"/>
                  </stop>
                </gradientFill>
              </fill>
            </x14:dxf>
          </x14:cfRule>
          <x14:cfRule type="expression" priority="4" id="{7D53BB21-CCEB-494B-86C3-567A05D6D8DB}">
            <xm:f>NOT(ISERROR(VLOOKUP($A23:$A32,Hidden!$Q$1:$Q$10,1,FALSE)))</xm:f>
            <x14:dxf>
              <fill>
                <patternFill>
                  <bgColor rgb="FF92D050"/>
                </patternFill>
              </fill>
            </x14:dxf>
          </x14:cfRule>
          <x14:cfRule type="expression" priority="7" id="{B8BD2F1C-CDEC-4D3B-93E7-8951215FEA2F}">
            <xm:f>NOT(ISERROR(VLOOKUP($A23:$A32,Hidden!$R$1:$R$10,1,FALSE)))</xm:f>
            <x14:dxf>
              <fill>
                <patternFill>
                  <bgColor rgb="FF00B0F0"/>
                </patternFill>
              </fill>
            </x14:dxf>
          </x14:cfRule>
          <x14:cfRule type="expression" priority="8" id="{EB97B594-AF30-4E15-BCB8-8C82C856BC02}">
            <xm:f>ISERROR(VLOOKUP($A23:$A32,Hidden!$Q$1:$Q$10,1,FALSE))</xm:f>
            <x14:dxf>
              <fill>
                <patternFill>
                  <bgColor rgb="FFFF5050"/>
                </patternFill>
              </fill>
            </x14:dxf>
          </x14:cfRule>
          <xm:sqref>A23:A32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Hidden!$A$2:$A$4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35"/>
  <sheetViews>
    <sheetView workbookViewId="0">
      <selection activeCell="AA1" sqref="AA1"/>
    </sheetView>
  </sheetViews>
  <sheetFormatPr defaultRowHeight="15" x14ac:dyDescent="0.25"/>
  <cols>
    <col min="1" max="1" width="14.42578125" bestFit="1" customWidth="1"/>
    <col min="2" max="2" width="20.5703125" customWidth="1"/>
    <col min="3" max="3" width="15.140625" bestFit="1" customWidth="1"/>
    <col min="4" max="4" width="11.140625" bestFit="1" customWidth="1"/>
  </cols>
  <sheetData>
    <row r="1" spans="1:12" x14ac:dyDescent="0.25">
      <c r="A1" s="109" t="s">
        <v>302</v>
      </c>
      <c r="B1" s="110"/>
      <c r="C1" s="110"/>
      <c r="D1" s="111"/>
      <c r="F1" s="60" t="s">
        <v>301</v>
      </c>
      <c r="G1" s="14"/>
      <c r="H1" s="14"/>
      <c r="I1" s="14"/>
      <c r="J1" s="14"/>
      <c r="K1" s="14"/>
      <c r="L1" s="15"/>
    </row>
    <row r="2" spans="1:12" x14ac:dyDescent="0.25">
      <c r="A2" s="51" t="s">
        <v>263</v>
      </c>
      <c r="B2" s="45" t="s">
        <v>264</v>
      </c>
      <c r="C2" s="45" t="s">
        <v>265</v>
      </c>
      <c r="D2" s="52" t="s">
        <v>283</v>
      </c>
      <c r="F2" s="61" t="s">
        <v>298</v>
      </c>
      <c r="G2" s="19"/>
      <c r="H2" s="19"/>
      <c r="I2" s="19"/>
      <c r="J2" s="19"/>
      <c r="K2" s="19"/>
      <c r="L2" s="62"/>
    </row>
    <row r="3" spans="1:12" x14ac:dyDescent="0.25">
      <c r="A3" s="103">
        <v>0</v>
      </c>
      <c r="B3" s="46" t="s">
        <v>18</v>
      </c>
      <c r="C3" s="47">
        <f>IF('Attributes &amp; Paragons'!A3=0,Hidden!U1,Hidden!U1*(1+'Attributes &amp; Paragons'!A3*10%))</f>
        <v>2.42</v>
      </c>
      <c r="D3" s="53">
        <f>C3*2</f>
        <v>4.84</v>
      </c>
      <c r="F3" s="61" t="s">
        <v>299</v>
      </c>
      <c r="G3" s="19"/>
      <c r="H3" s="19"/>
      <c r="I3" s="19"/>
      <c r="J3" s="19"/>
      <c r="K3" s="19"/>
      <c r="L3" s="62"/>
    </row>
    <row r="4" spans="1:12" x14ac:dyDescent="0.25">
      <c r="A4" s="103">
        <v>0</v>
      </c>
      <c r="B4" s="48" t="s">
        <v>19</v>
      </c>
      <c r="C4" s="49">
        <f>IF('Attributes &amp; Paragons'!A4=0,Hidden!U2,Hidden!U2*(1+'Attributes &amp; Paragons'!A4*10%))</f>
        <v>4.84</v>
      </c>
      <c r="D4" s="54">
        <f t="shared" ref="D4:D16" si="0">C4*2</f>
        <v>9.68</v>
      </c>
      <c r="F4" s="61" t="s">
        <v>307</v>
      </c>
      <c r="G4" s="19"/>
      <c r="H4" s="19"/>
      <c r="I4" s="19"/>
      <c r="J4" s="19"/>
      <c r="K4" s="19"/>
      <c r="L4" s="62"/>
    </row>
    <row r="5" spans="1:12" x14ac:dyDescent="0.25">
      <c r="A5" s="103">
        <v>0</v>
      </c>
      <c r="B5" s="48" t="s">
        <v>20</v>
      </c>
      <c r="C5" s="49">
        <f>IF('Attributes &amp; Paragons'!A5=0,Hidden!U3,Hidden!U3*(1+'Attributes &amp; Paragons'!A5*10%))</f>
        <v>4.84</v>
      </c>
      <c r="D5" s="54">
        <f t="shared" si="0"/>
        <v>9.68</v>
      </c>
      <c r="F5" s="40"/>
      <c r="G5" s="66" t="s">
        <v>303</v>
      </c>
      <c r="H5" t="s">
        <v>304</v>
      </c>
      <c r="L5" s="41"/>
    </row>
    <row r="6" spans="1:12" x14ac:dyDescent="0.25">
      <c r="A6" s="103">
        <v>0</v>
      </c>
      <c r="B6" s="48" t="s">
        <v>58</v>
      </c>
      <c r="C6" s="49">
        <f>IF('Attributes &amp; Paragons'!A6=0,Hidden!U4,Hidden!U4*(1+'Attributes &amp; Paragons'!A6*10%))</f>
        <v>4.84</v>
      </c>
      <c r="D6" s="54">
        <f t="shared" si="0"/>
        <v>9.68</v>
      </c>
      <c r="F6" s="40"/>
      <c r="G6" s="66" t="s">
        <v>305</v>
      </c>
      <c r="H6" t="s">
        <v>306</v>
      </c>
      <c r="L6" s="41"/>
    </row>
    <row r="7" spans="1:12" ht="15.75" thickBot="1" x14ac:dyDescent="0.3">
      <c r="A7" s="103">
        <v>0</v>
      </c>
      <c r="B7" s="48" t="s">
        <v>21</v>
      </c>
      <c r="C7" s="49">
        <f>IF('Attributes &amp; Paragons'!A7=0,Hidden!U5,Hidden!U5*(1+'Attributes &amp; Paragons'!A7*10%))</f>
        <v>4.84</v>
      </c>
      <c r="D7" s="54">
        <f t="shared" si="0"/>
        <v>9.68</v>
      </c>
      <c r="F7" s="63" t="s">
        <v>300</v>
      </c>
      <c r="G7" s="64"/>
      <c r="H7" s="64"/>
      <c r="I7" s="64"/>
      <c r="J7" s="64"/>
      <c r="K7" s="64"/>
      <c r="L7" s="65"/>
    </row>
    <row r="8" spans="1:12" x14ac:dyDescent="0.25">
      <c r="A8" s="103">
        <v>0</v>
      </c>
      <c r="B8" s="48" t="s">
        <v>22</v>
      </c>
      <c r="C8" s="49">
        <f>IF('Attributes &amp; Paragons'!A8=0,Hidden!U6,Hidden!U6*(1+'Attributes &amp; Paragons'!A8*10%))</f>
        <v>4.84</v>
      </c>
      <c r="D8" s="54">
        <f t="shared" si="0"/>
        <v>9.68</v>
      </c>
    </row>
    <row r="9" spans="1:12" x14ac:dyDescent="0.25">
      <c r="A9" s="103">
        <v>0</v>
      </c>
      <c r="B9" s="48" t="s">
        <v>23</v>
      </c>
      <c r="C9" s="49">
        <f>IF('Attributes &amp; Paragons'!A9=0,Hidden!U7,Hidden!U7*(1+'Attributes &amp; Paragons'!A9*10%))</f>
        <v>4.84</v>
      </c>
      <c r="D9" s="54">
        <f t="shared" si="0"/>
        <v>9.68</v>
      </c>
    </row>
    <row r="10" spans="1:12" ht="15.75" thickBot="1" x14ac:dyDescent="0.3">
      <c r="A10" s="103">
        <v>0</v>
      </c>
      <c r="B10" s="48" t="s">
        <v>54</v>
      </c>
      <c r="C10" s="49">
        <f>IF('Attributes &amp; Paragons'!A10=0,Hidden!U8,Hidden!U8*(1+'Attributes &amp; Paragons'!A10*10%))</f>
        <v>4.84</v>
      </c>
      <c r="D10" s="54">
        <f t="shared" si="0"/>
        <v>9.68</v>
      </c>
    </row>
    <row r="11" spans="1:12" x14ac:dyDescent="0.25">
      <c r="A11" s="103">
        <v>0</v>
      </c>
      <c r="B11" s="48" t="s">
        <v>24</v>
      </c>
      <c r="C11" s="49">
        <f>IF('Attributes &amp; Paragons'!A11=0,Hidden!U9,Hidden!U9*(1+'Attributes &amp; Paragons'!A11*10%))</f>
        <v>4.84</v>
      </c>
      <c r="D11" s="54">
        <f t="shared" si="0"/>
        <v>9.68</v>
      </c>
      <c r="F11" s="60" t="s">
        <v>288</v>
      </c>
      <c r="G11" s="14"/>
      <c r="H11" s="14"/>
      <c r="I11" s="40"/>
      <c r="J11" s="60" t="s">
        <v>289</v>
      </c>
      <c r="K11" s="14"/>
      <c r="L11" s="15"/>
    </row>
    <row r="12" spans="1:12" x14ac:dyDescent="0.25">
      <c r="A12" s="103">
        <v>0</v>
      </c>
      <c r="B12" s="48" t="s">
        <v>55</v>
      </c>
      <c r="C12" s="49">
        <f>IF('Attributes &amp; Paragons'!A12=0,Hidden!U10,Hidden!U10*(1+'Attributes &amp; Paragons'!A12*10%))</f>
        <v>4.84</v>
      </c>
      <c r="D12" s="54">
        <f t="shared" si="0"/>
        <v>9.68</v>
      </c>
      <c r="F12" s="40"/>
      <c r="G12" s="3" t="s">
        <v>285</v>
      </c>
      <c r="H12" s="105">
        <v>0</v>
      </c>
      <c r="I12" s="40"/>
      <c r="J12" s="40"/>
      <c r="K12" s="3" t="s">
        <v>290</v>
      </c>
      <c r="L12" s="106">
        <v>7</v>
      </c>
    </row>
    <row r="13" spans="1:12" ht="15.75" thickBot="1" x14ac:dyDescent="0.3">
      <c r="A13" s="103">
        <v>0</v>
      </c>
      <c r="B13" s="46" t="s">
        <v>25</v>
      </c>
      <c r="C13" s="47">
        <f>IF('Attributes &amp; Paragons'!A13=0,Hidden!U11,Hidden!U11*(1+'Attributes &amp; Paragons'!A13*10%))</f>
        <v>2.42</v>
      </c>
      <c r="D13" s="53">
        <f t="shared" si="0"/>
        <v>4.84</v>
      </c>
      <c r="F13" s="40"/>
      <c r="G13" s="3" t="s">
        <v>286</v>
      </c>
      <c r="H13" s="105">
        <v>10</v>
      </c>
      <c r="I13" s="40"/>
      <c r="J13" s="42"/>
      <c r="K13" s="43" t="s">
        <v>292</v>
      </c>
      <c r="L13" s="44">
        <f>(POWER(3,(L12-1)))</f>
        <v>729</v>
      </c>
    </row>
    <row r="14" spans="1:12" ht="15.75" thickBot="1" x14ac:dyDescent="0.3">
      <c r="A14" s="103">
        <v>0</v>
      </c>
      <c r="B14" s="45" t="s">
        <v>26</v>
      </c>
      <c r="C14" s="50">
        <f>IF('Attributes &amp; Paragons'!A14=0,Hidden!U12,Hidden!U12*(1+'Attributes &amp; Paragons'!A14*10%))</f>
        <v>0.04</v>
      </c>
      <c r="D14" s="55">
        <f t="shared" si="0"/>
        <v>0.08</v>
      </c>
      <c r="F14" s="42"/>
      <c r="G14" s="43" t="s">
        <v>291</v>
      </c>
      <c r="H14" s="43">
        <f ca="1">SUM(INDIRECT("Hidden!W"&amp;H12+2&amp;":W"&amp;H13+2))</f>
        <v>88572</v>
      </c>
      <c r="I14" s="40"/>
    </row>
    <row r="15" spans="1:12" x14ac:dyDescent="0.25">
      <c r="A15" s="103">
        <v>0</v>
      </c>
      <c r="B15" s="45" t="s">
        <v>11</v>
      </c>
      <c r="C15" s="50">
        <f>IF('Attributes &amp; Paragons'!A15=0,Hidden!U13,Hidden!U13*(1+'Attributes &amp; Paragons'!A15*10%))</f>
        <v>0.04</v>
      </c>
      <c r="D15" s="55">
        <f t="shared" si="0"/>
        <v>0.08</v>
      </c>
    </row>
    <row r="16" spans="1:12" x14ac:dyDescent="0.25">
      <c r="A16" s="103">
        <v>0</v>
      </c>
      <c r="B16" s="45" t="s">
        <v>12</v>
      </c>
      <c r="C16" s="50">
        <f>IF('Attributes &amp; Paragons'!A16=0,Hidden!U14,Hidden!U14*(1+'Attributes &amp; Paragons'!A16*10%))</f>
        <v>0.12</v>
      </c>
      <c r="D16" s="55">
        <f t="shared" si="0"/>
        <v>0.24</v>
      </c>
    </row>
    <row r="17" spans="1:14" x14ac:dyDescent="0.25">
      <c r="A17" s="103">
        <v>0</v>
      </c>
      <c r="B17" s="45" t="s">
        <v>13</v>
      </c>
      <c r="C17" s="45">
        <f>IF('Attributes &amp; Paragons'!A17=0,Hidden!U15,Hidden!U15*(1+'Attributes &amp; Paragons'!A17*10%))</f>
        <v>1210</v>
      </c>
      <c r="D17" s="52">
        <f>C17*2</f>
        <v>2420</v>
      </c>
    </row>
    <row r="18" spans="1:14" x14ac:dyDescent="0.25">
      <c r="A18" s="103">
        <v>0</v>
      </c>
      <c r="B18" s="45" t="s">
        <v>266</v>
      </c>
      <c r="C18" s="45">
        <f>IF('Attributes &amp; Paragons'!A18=0,Hidden!U16,Hidden!U16*(1+'Attributes &amp; Paragons'!A18*10%))</f>
        <v>120.5</v>
      </c>
      <c r="D18" s="52">
        <f t="shared" ref="D18:D29" si="1">C18*2</f>
        <v>241</v>
      </c>
    </row>
    <row r="19" spans="1:14" x14ac:dyDescent="0.25">
      <c r="A19" s="103">
        <v>0</v>
      </c>
      <c r="B19" s="45" t="s">
        <v>267</v>
      </c>
      <c r="C19" s="45">
        <f>IF('Attributes &amp; Paragons'!A19=0,Hidden!U17,Hidden!U17*(1+'Attributes &amp; Paragons'!A19*10%))</f>
        <v>603</v>
      </c>
      <c r="D19" s="52">
        <f t="shared" si="1"/>
        <v>1206</v>
      </c>
    </row>
    <row r="20" spans="1:14" x14ac:dyDescent="0.25">
      <c r="A20" s="103">
        <v>0</v>
      </c>
      <c r="B20" s="46" t="s">
        <v>272</v>
      </c>
      <c r="C20" s="46">
        <f>IF('Attributes &amp; Paragons'!A20=0,Hidden!U18,Hidden!U18*(1+'Attributes &amp; Paragons'!A20*10%))</f>
        <v>150</v>
      </c>
      <c r="D20" s="56">
        <f t="shared" si="1"/>
        <v>300</v>
      </c>
    </row>
    <row r="21" spans="1:14" x14ac:dyDescent="0.25">
      <c r="A21" s="103">
        <v>0</v>
      </c>
      <c r="B21" s="46" t="s">
        <v>269</v>
      </c>
      <c r="C21" s="46">
        <f>IF('Attributes &amp; Paragons'!A21=0,Hidden!U19,Hidden!U19*(1+'Attributes &amp; Paragons'!A21*10%))</f>
        <v>150</v>
      </c>
      <c r="D21" s="56">
        <f t="shared" si="1"/>
        <v>300</v>
      </c>
    </row>
    <row r="22" spans="1:14" x14ac:dyDescent="0.25">
      <c r="A22" s="103">
        <v>0</v>
      </c>
      <c r="B22" s="46" t="s">
        <v>275</v>
      </c>
      <c r="C22" s="46">
        <f>IF('Attributes &amp; Paragons'!A22=0,Hidden!U20,Hidden!U20*(1+'Attributes &amp; Paragons'!A22*10%))</f>
        <v>150</v>
      </c>
      <c r="D22" s="56">
        <f t="shared" si="1"/>
        <v>300</v>
      </c>
    </row>
    <row r="23" spans="1:14" x14ac:dyDescent="0.25">
      <c r="A23" s="103">
        <v>0</v>
      </c>
      <c r="B23" s="48" t="s">
        <v>270</v>
      </c>
      <c r="C23" s="48">
        <f>IF('Attributes &amp; Paragons'!A23=0,Hidden!U21,Hidden!U21*(1+'Attributes &amp; Paragons'!A23*10%))</f>
        <v>220</v>
      </c>
      <c r="D23" s="57">
        <f t="shared" si="1"/>
        <v>440</v>
      </c>
    </row>
    <row r="24" spans="1:14" x14ac:dyDescent="0.25">
      <c r="A24" s="103">
        <v>0</v>
      </c>
      <c r="B24" s="46" t="s">
        <v>277</v>
      </c>
      <c r="C24" s="46">
        <f>IF('Attributes &amp; Paragons'!A24=0,Hidden!U22,Hidden!U22*(1+'Attributes &amp; Paragons'!A24*10%))</f>
        <v>150</v>
      </c>
      <c r="D24" s="56">
        <f t="shared" si="1"/>
        <v>300</v>
      </c>
    </row>
    <row r="25" spans="1:14" x14ac:dyDescent="0.25">
      <c r="A25" s="103">
        <v>0</v>
      </c>
      <c r="B25" s="48" t="s">
        <v>276</v>
      </c>
      <c r="C25" s="48">
        <f>IF('Attributes &amp; Paragons'!A25=0,Hidden!U23,Hidden!U23*(1+'Attributes &amp; Paragons'!A25*10%))</f>
        <v>350</v>
      </c>
      <c r="D25" s="57">
        <f t="shared" si="1"/>
        <v>700</v>
      </c>
    </row>
    <row r="26" spans="1:14" x14ac:dyDescent="0.25">
      <c r="A26" s="103">
        <v>0</v>
      </c>
      <c r="B26" s="48" t="s">
        <v>271</v>
      </c>
      <c r="C26" s="48">
        <f>IF('Attributes &amp; Paragons'!A26=0,Hidden!U24,Hidden!U24*(1+'Attributes &amp; Paragons'!A26*10%))</f>
        <v>350</v>
      </c>
      <c r="D26" s="57">
        <f t="shared" si="1"/>
        <v>700</v>
      </c>
    </row>
    <row r="27" spans="1:14" x14ac:dyDescent="0.25">
      <c r="A27" s="103">
        <v>0</v>
      </c>
      <c r="B27" s="48" t="s">
        <v>268</v>
      </c>
      <c r="C27" s="48">
        <f>IF('Attributes &amp; Paragons'!A27=0,Hidden!U25,Hidden!U25*(1+'Attributes &amp; Paragons'!A27*10%))</f>
        <v>350</v>
      </c>
      <c r="D27" s="57">
        <f t="shared" si="1"/>
        <v>700</v>
      </c>
    </row>
    <row r="28" spans="1:14" x14ac:dyDescent="0.25">
      <c r="A28" s="103">
        <v>0</v>
      </c>
      <c r="B28" s="48" t="s">
        <v>273</v>
      </c>
      <c r="C28" s="48">
        <f>IF('Attributes &amp; Paragons'!A28=0,Hidden!U26,Hidden!U26*(1+'Attributes &amp; Paragons'!A28*10%))</f>
        <v>350</v>
      </c>
      <c r="D28" s="57">
        <f t="shared" si="1"/>
        <v>700</v>
      </c>
      <c r="N28" s="2"/>
    </row>
    <row r="29" spans="1:14" ht="15.75" thickBot="1" x14ac:dyDescent="0.3">
      <c r="A29" s="104">
        <v>0</v>
      </c>
      <c r="B29" s="58" t="s">
        <v>274</v>
      </c>
      <c r="C29" s="58">
        <f>IF('Attributes &amp; Paragons'!A29=0,Hidden!U27,Hidden!U27*(1+'Attributes &amp; Paragons'!A29*10%))</f>
        <v>242</v>
      </c>
      <c r="D29" s="59">
        <f t="shared" si="1"/>
        <v>484</v>
      </c>
    </row>
    <row r="31" spans="1:14" x14ac:dyDescent="0.25">
      <c r="A31" s="39" t="s">
        <v>297</v>
      </c>
      <c r="B31" s="39"/>
      <c r="C31" s="39"/>
      <c r="D31" s="39"/>
      <c r="E31" s="39"/>
    </row>
    <row r="32" spans="1:14" x14ac:dyDescent="0.25">
      <c r="B32" s="39" t="s">
        <v>294</v>
      </c>
      <c r="C32" s="39"/>
      <c r="D32" s="39"/>
    </row>
    <row r="33" spans="2:5" x14ac:dyDescent="0.25">
      <c r="B33" s="39" t="s">
        <v>293</v>
      </c>
      <c r="C33" s="39"/>
      <c r="D33" s="39"/>
    </row>
    <row r="34" spans="2:5" x14ac:dyDescent="0.25">
      <c r="C34" s="39" t="s">
        <v>295</v>
      </c>
      <c r="D34" s="39"/>
      <c r="E34" s="39"/>
    </row>
    <row r="35" spans="2:5" x14ac:dyDescent="0.25">
      <c r="B35" s="39" t="s">
        <v>296</v>
      </c>
      <c r="C35" s="39"/>
    </row>
  </sheetData>
  <sheetProtection password="CCFD" sheet="1" objects="1" scenarios="1"/>
  <mergeCells count="1">
    <mergeCell ref="A1:D1"/>
  </mergeCells>
  <dataValidations count="3">
    <dataValidation type="list" allowBlank="1" showInputMessage="1" showErrorMessage="1" sqref="A3:A29" xr:uid="{00000000-0002-0000-0200-000000000000}">
      <formula1>"0,1,2,3,4,5,6,7,8,9,10,11,12,13,14,15,16,17,18,19,20,21,22,23,24,25,26,27,28,29,30"</formula1>
    </dataValidation>
    <dataValidation type="list" allowBlank="1" showInputMessage="1" showErrorMessage="1" sqref="H12" xr:uid="{00000000-0002-0000-0200-000001000000}">
      <formula1>"0,1,2,3,4,5,6,7,8,9"</formula1>
    </dataValidation>
    <dataValidation type="list" allowBlank="1" showInputMessage="1" showErrorMessage="1" sqref="H13 L12" xr:uid="{00000000-0002-0000-0200-000002000000}">
      <formula1>"1,2,3,4,5,6,7,8,9,10"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W141"/>
  <sheetViews>
    <sheetView topLeftCell="A24" workbookViewId="0">
      <selection activeCell="E45" sqref="E45"/>
    </sheetView>
  </sheetViews>
  <sheetFormatPr defaultRowHeight="15" x14ac:dyDescent="0.25"/>
  <cols>
    <col min="1" max="1" width="16.28515625" customWidth="1"/>
    <col min="2" max="2" width="21" bestFit="1" customWidth="1"/>
    <col min="3" max="3" width="20.42578125" bestFit="1" customWidth="1"/>
    <col min="4" max="4" width="19.140625" bestFit="1" customWidth="1"/>
    <col min="5" max="5" width="16.28515625" bestFit="1" customWidth="1"/>
    <col min="6" max="6" width="15.7109375" bestFit="1" customWidth="1"/>
    <col min="7" max="7" width="16.28515625" bestFit="1" customWidth="1"/>
    <col min="8" max="8" width="17.7109375" bestFit="1" customWidth="1"/>
    <col min="9" max="9" width="17" bestFit="1" customWidth="1"/>
    <col min="10" max="10" width="15.7109375" bestFit="1" customWidth="1"/>
    <col min="11" max="11" width="18" bestFit="1" customWidth="1"/>
    <col min="12" max="12" width="17.42578125" bestFit="1" customWidth="1"/>
    <col min="13" max="13" width="16" bestFit="1" customWidth="1"/>
    <col min="14" max="14" width="15.5703125" bestFit="1" customWidth="1"/>
    <col min="15" max="15" width="16.42578125" bestFit="1" customWidth="1"/>
    <col min="17" max="17" width="18.28515625" customWidth="1"/>
    <col min="18" max="18" width="17.85546875" bestFit="1" customWidth="1"/>
    <col min="20" max="20" width="22.42578125" bestFit="1" customWidth="1"/>
  </cols>
  <sheetData>
    <row r="1" spans="1:23" x14ac:dyDescent="0.25">
      <c r="A1" t="s">
        <v>64</v>
      </c>
      <c r="B1" t="s">
        <v>65</v>
      </c>
      <c r="C1" t="s">
        <v>66</v>
      </c>
      <c r="D1" t="s">
        <v>67</v>
      </c>
      <c r="E1" t="s">
        <v>79</v>
      </c>
      <c r="F1" t="s">
        <v>86</v>
      </c>
      <c r="G1" t="s">
        <v>87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Q1" s="9" t="str">
        <f t="array" aca="1" ref="Q1:Q10" ca="1">TRANSPOSE(A28:J28)</f>
        <v>Melee Damage</v>
      </c>
      <c r="R1" s="9" t="str">
        <f t="array" aca="1" ref="R1:R10" ca="1">TRANSPOSE(A30:J30)</f>
        <v>Fire Damage</v>
      </c>
      <c r="T1" t="s">
        <v>18</v>
      </c>
      <c r="U1" s="1">
        <v>2.42</v>
      </c>
      <c r="V1" s="1"/>
      <c r="W1" t="s">
        <v>287</v>
      </c>
    </row>
    <row r="2" spans="1:23" x14ac:dyDescent="0.25">
      <c r="A2" t="s">
        <v>61</v>
      </c>
      <c r="B2" t="s">
        <v>76</v>
      </c>
      <c r="C2" t="s">
        <v>76</v>
      </c>
      <c r="D2" t="s">
        <v>76</v>
      </c>
      <c r="E2" t="s">
        <v>38</v>
      </c>
      <c r="F2" t="s">
        <v>95</v>
      </c>
      <c r="G2" t="s">
        <v>88</v>
      </c>
      <c r="H2" t="s">
        <v>123</v>
      </c>
      <c r="I2" t="s">
        <v>108</v>
      </c>
      <c r="J2" t="s">
        <v>117</v>
      </c>
      <c r="K2" t="s">
        <v>120</v>
      </c>
      <c r="L2" t="s">
        <v>111</v>
      </c>
      <c r="M2" t="s">
        <v>114</v>
      </c>
      <c r="Q2" s="10" t="str">
        <f ca="1"/>
        <v>Fire Damage</v>
      </c>
      <c r="R2" s="10" t="str">
        <f ca="1"/>
        <v>Elemental Damage</v>
      </c>
      <c r="T2" t="s">
        <v>19</v>
      </c>
      <c r="U2" s="1">
        <v>4.84</v>
      </c>
      <c r="V2" s="1"/>
      <c r="W2">
        <v>0</v>
      </c>
    </row>
    <row r="3" spans="1:23" x14ac:dyDescent="0.25">
      <c r="A3" t="s">
        <v>62</v>
      </c>
      <c r="B3" t="s">
        <v>6</v>
      </c>
      <c r="C3" t="s">
        <v>70</v>
      </c>
      <c r="D3" t="s">
        <v>73</v>
      </c>
      <c r="E3" t="s">
        <v>80</v>
      </c>
      <c r="F3" t="s">
        <v>96</v>
      </c>
      <c r="G3" t="s">
        <v>89</v>
      </c>
      <c r="H3" t="s">
        <v>124</v>
      </c>
      <c r="I3" t="s">
        <v>109</v>
      </c>
      <c r="J3" t="s">
        <v>118</v>
      </c>
      <c r="K3" t="s">
        <v>121</v>
      </c>
      <c r="L3" t="s">
        <v>112</v>
      </c>
      <c r="M3" t="s">
        <v>115</v>
      </c>
      <c r="Q3" s="10" t="str">
        <f ca="1"/>
        <v>Elemental Damage</v>
      </c>
      <c r="R3" s="10" t="str">
        <f ca="1"/>
        <v>Area Damage</v>
      </c>
      <c r="T3" t="s">
        <v>20</v>
      </c>
      <c r="U3" s="1">
        <v>4.84</v>
      </c>
      <c r="V3" s="1"/>
      <c r="W3">
        <v>3</v>
      </c>
    </row>
    <row r="4" spans="1:23" x14ac:dyDescent="0.25">
      <c r="A4" t="s">
        <v>63</v>
      </c>
      <c r="B4" t="s">
        <v>68</v>
      </c>
      <c r="C4" t="s">
        <v>71</v>
      </c>
      <c r="D4" t="s">
        <v>74</v>
      </c>
      <c r="E4" t="s">
        <v>81</v>
      </c>
      <c r="F4" t="s">
        <v>97</v>
      </c>
      <c r="G4" t="s">
        <v>90</v>
      </c>
      <c r="H4" t="s">
        <v>125</v>
      </c>
      <c r="I4" t="s">
        <v>110</v>
      </c>
      <c r="J4" t="s">
        <v>119</v>
      </c>
      <c r="K4" t="s">
        <v>122</v>
      </c>
      <c r="L4" t="s">
        <v>113</v>
      </c>
      <c r="M4" t="s">
        <v>116</v>
      </c>
      <c r="Q4" s="10" t="str">
        <f ca="1"/>
        <v>Direct Damage</v>
      </c>
      <c r="R4" s="10" t="str">
        <f ca="1"/>
        <v/>
      </c>
      <c r="T4" t="s">
        <v>58</v>
      </c>
      <c r="U4" s="1">
        <v>4.84</v>
      </c>
      <c r="V4" s="1"/>
      <c r="W4">
        <v>9</v>
      </c>
    </row>
    <row r="5" spans="1:23" x14ac:dyDescent="0.25">
      <c r="B5" t="s">
        <v>69</v>
      </c>
      <c r="C5" t="s">
        <v>72</v>
      </c>
      <c r="D5" t="s">
        <v>75</v>
      </c>
      <c r="E5" t="s">
        <v>82</v>
      </c>
      <c r="F5" t="s">
        <v>98</v>
      </c>
      <c r="G5" t="s">
        <v>91</v>
      </c>
      <c r="Q5" s="10" t="str">
        <f ca="1"/>
        <v/>
      </c>
      <c r="R5" s="10" t="str">
        <f ca="1"/>
        <v/>
      </c>
      <c r="T5" t="s">
        <v>21</v>
      </c>
      <c r="U5" s="1">
        <v>4.84</v>
      </c>
      <c r="V5" s="1"/>
      <c r="W5">
        <v>27</v>
      </c>
    </row>
    <row r="6" spans="1:23" x14ac:dyDescent="0.25">
      <c r="E6" t="s">
        <v>83</v>
      </c>
      <c r="F6" t="s">
        <v>99</v>
      </c>
      <c r="G6" t="s">
        <v>92</v>
      </c>
      <c r="Q6" s="10" t="str">
        <f ca="1"/>
        <v/>
      </c>
      <c r="R6" s="10" t="str">
        <f ca="1"/>
        <v/>
      </c>
      <c r="T6" t="s">
        <v>22</v>
      </c>
      <c r="U6" s="1">
        <v>4.84</v>
      </c>
      <c r="V6" s="1"/>
      <c r="W6">
        <v>81</v>
      </c>
    </row>
    <row r="7" spans="1:23" x14ac:dyDescent="0.25">
      <c r="E7" t="s">
        <v>84</v>
      </c>
      <c r="F7" t="s">
        <v>100</v>
      </c>
      <c r="G7" t="s">
        <v>93</v>
      </c>
      <c r="Q7" s="10" t="str">
        <f ca="1"/>
        <v/>
      </c>
      <c r="R7" s="10" t="str">
        <f ca="1"/>
        <v/>
      </c>
      <c r="T7" t="s">
        <v>23</v>
      </c>
      <c r="U7" s="1">
        <v>4.84</v>
      </c>
      <c r="V7" s="1"/>
      <c r="W7">
        <v>243</v>
      </c>
    </row>
    <row r="8" spans="1:23" x14ac:dyDescent="0.25">
      <c r="E8" t="s">
        <v>85</v>
      </c>
      <c r="F8" t="s">
        <v>101</v>
      </c>
      <c r="G8" t="s">
        <v>94</v>
      </c>
      <c r="Q8" s="10" t="str">
        <f ca="1"/>
        <v/>
      </c>
      <c r="R8" s="10" t="str">
        <f ca="1"/>
        <v/>
      </c>
      <c r="T8" t="s">
        <v>54</v>
      </c>
      <c r="U8" s="1">
        <v>4.84</v>
      </c>
      <c r="V8" s="1"/>
      <c r="W8">
        <v>729</v>
      </c>
    </row>
    <row r="9" spans="1:23" x14ac:dyDescent="0.25">
      <c r="Q9" s="10" t="str">
        <f ca="1"/>
        <v/>
      </c>
      <c r="R9" s="10" t="str">
        <f ca="1"/>
        <v/>
      </c>
      <c r="T9" t="s">
        <v>24</v>
      </c>
      <c r="U9" s="1">
        <v>4.84</v>
      </c>
      <c r="V9" s="1"/>
      <c r="W9">
        <v>2187</v>
      </c>
    </row>
    <row r="10" spans="1:23" ht="15.75" thickBot="1" x14ac:dyDescent="0.3">
      <c r="A10" t="s">
        <v>38</v>
      </c>
      <c r="B10" t="s">
        <v>80</v>
      </c>
      <c r="C10" t="s">
        <v>81</v>
      </c>
      <c r="D10" t="s">
        <v>82</v>
      </c>
      <c r="E10" t="s">
        <v>83</v>
      </c>
      <c r="F10" t="s">
        <v>84</v>
      </c>
      <c r="G10" t="s">
        <v>85</v>
      </c>
      <c r="I10" t="s">
        <v>123</v>
      </c>
      <c r="J10" t="s">
        <v>124</v>
      </c>
      <c r="K10" t="s">
        <v>125</v>
      </c>
      <c r="M10" t="s">
        <v>120</v>
      </c>
      <c r="N10" t="s">
        <v>121</v>
      </c>
      <c r="O10" t="s">
        <v>122</v>
      </c>
      <c r="Q10" s="11" t="str">
        <f ca="1"/>
        <v/>
      </c>
      <c r="R10" s="11" t="str">
        <f ca="1"/>
        <v/>
      </c>
      <c r="T10" t="s">
        <v>55</v>
      </c>
      <c r="U10" s="1">
        <v>4.84</v>
      </c>
      <c r="V10" s="1"/>
      <c r="W10">
        <v>6561</v>
      </c>
    </row>
    <row r="11" spans="1:23" x14ac:dyDescent="0.25">
      <c r="A11" t="s">
        <v>126</v>
      </c>
      <c r="B11" t="s">
        <v>126</v>
      </c>
      <c r="C11" t="s">
        <v>126</v>
      </c>
      <c r="D11" t="s">
        <v>126</v>
      </c>
      <c r="E11" t="s">
        <v>126</v>
      </c>
      <c r="F11" t="s">
        <v>126</v>
      </c>
      <c r="G11" t="s">
        <v>126</v>
      </c>
      <c r="I11" t="s">
        <v>126</v>
      </c>
      <c r="J11" t="s">
        <v>126</v>
      </c>
      <c r="K11" t="s">
        <v>126</v>
      </c>
      <c r="M11" t="s">
        <v>126</v>
      </c>
      <c r="N11" t="s">
        <v>126</v>
      </c>
      <c r="O11" t="s">
        <v>126</v>
      </c>
      <c r="T11" t="s">
        <v>25</v>
      </c>
      <c r="U11" s="1">
        <v>2.42</v>
      </c>
      <c r="V11" s="1"/>
      <c r="W11">
        <v>19683</v>
      </c>
    </row>
    <row r="12" spans="1:23" x14ac:dyDescent="0.25">
      <c r="A12" t="s">
        <v>130</v>
      </c>
      <c r="B12" t="s">
        <v>132</v>
      </c>
      <c r="C12" t="s">
        <v>129</v>
      </c>
      <c r="F12" t="s">
        <v>132</v>
      </c>
      <c r="G12" t="s">
        <v>130</v>
      </c>
      <c r="I12" t="s">
        <v>130</v>
      </c>
      <c r="J12" t="s">
        <v>131</v>
      </c>
      <c r="T12" t="s">
        <v>26</v>
      </c>
      <c r="U12" s="1">
        <v>0.04</v>
      </c>
      <c r="V12" s="1"/>
      <c r="W12">
        <v>59049</v>
      </c>
    </row>
    <row r="13" spans="1:23" x14ac:dyDescent="0.25">
      <c r="A13" t="s">
        <v>131</v>
      </c>
      <c r="T13" t="s">
        <v>11</v>
      </c>
      <c r="U13" s="1">
        <v>0.04</v>
      </c>
      <c r="V13" s="1"/>
    </row>
    <row r="14" spans="1:23" x14ac:dyDescent="0.25">
      <c r="T14" t="s">
        <v>12</v>
      </c>
      <c r="U14" s="1">
        <v>0.12</v>
      </c>
      <c r="V14" s="1"/>
    </row>
    <row r="15" spans="1:23" x14ac:dyDescent="0.25">
      <c r="T15" t="s">
        <v>13</v>
      </c>
      <c r="U15">
        <v>1210</v>
      </c>
    </row>
    <row r="16" spans="1:23" x14ac:dyDescent="0.25">
      <c r="A16" t="s">
        <v>95</v>
      </c>
      <c r="B16" t="s">
        <v>96</v>
      </c>
      <c r="C16" t="s">
        <v>97</v>
      </c>
      <c r="D16" t="s">
        <v>98</v>
      </c>
      <c r="E16" t="s">
        <v>99</v>
      </c>
      <c r="F16" t="s">
        <v>100</v>
      </c>
      <c r="G16" t="s">
        <v>101</v>
      </c>
      <c r="I16" t="s">
        <v>108</v>
      </c>
      <c r="J16" t="s">
        <v>109</v>
      </c>
      <c r="K16" t="s">
        <v>110</v>
      </c>
      <c r="M16" t="s">
        <v>111</v>
      </c>
      <c r="N16" t="s">
        <v>112</v>
      </c>
      <c r="O16" t="s">
        <v>113</v>
      </c>
      <c r="T16" t="s">
        <v>266</v>
      </c>
      <c r="U16">
        <v>120.5</v>
      </c>
    </row>
    <row r="17" spans="1:23" x14ac:dyDescent="0.25">
      <c r="A17" t="s">
        <v>126</v>
      </c>
      <c r="B17" t="s">
        <v>126</v>
      </c>
      <c r="C17" t="s">
        <v>126</v>
      </c>
      <c r="D17" t="s">
        <v>126</v>
      </c>
      <c r="E17" t="s">
        <v>126</v>
      </c>
      <c r="F17" t="s">
        <v>126</v>
      </c>
      <c r="G17" t="s">
        <v>126</v>
      </c>
      <c r="I17" t="s">
        <v>126</v>
      </c>
      <c r="J17" t="s">
        <v>126</v>
      </c>
      <c r="K17" t="s">
        <v>126</v>
      </c>
      <c r="M17" t="s">
        <v>126</v>
      </c>
      <c r="N17" t="s">
        <v>126</v>
      </c>
      <c r="O17" t="s">
        <v>126</v>
      </c>
      <c r="T17" t="s">
        <v>267</v>
      </c>
      <c r="U17">
        <v>603</v>
      </c>
    </row>
    <row r="18" spans="1:23" x14ac:dyDescent="0.25">
      <c r="A18" t="s">
        <v>132</v>
      </c>
      <c r="C18" t="s">
        <v>130</v>
      </c>
      <c r="D18" t="s">
        <v>133</v>
      </c>
      <c r="F18" t="s">
        <v>131</v>
      </c>
      <c r="G18" t="s">
        <v>132</v>
      </c>
      <c r="I18" t="s">
        <v>132</v>
      </c>
      <c r="K18" t="s">
        <v>131</v>
      </c>
      <c r="T18" t="s">
        <v>272</v>
      </c>
      <c r="U18">
        <v>150</v>
      </c>
    </row>
    <row r="19" spans="1:23" x14ac:dyDescent="0.25">
      <c r="F19" t="s">
        <v>130</v>
      </c>
      <c r="T19" t="s">
        <v>269</v>
      </c>
      <c r="U19">
        <v>150</v>
      </c>
    </row>
    <row r="20" spans="1:23" x14ac:dyDescent="0.25">
      <c r="T20" t="s">
        <v>275</v>
      </c>
      <c r="U20">
        <v>150</v>
      </c>
    </row>
    <row r="21" spans="1:23" x14ac:dyDescent="0.25">
      <c r="T21" t="s">
        <v>270</v>
      </c>
      <c r="U21">
        <v>220</v>
      </c>
      <c r="W21" s="2"/>
    </row>
    <row r="22" spans="1:23" x14ac:dyDescent="0.25">
      <c r="A22" t="s">
        <v>88</v>
      </c>
      <c r="B22" t="s">
        <v>89</v>
      </c>
      <c r="C22" t="s">
        <v>90</v>
      </c>
      <c r="D22" t="s">
        <v>91</v>
      </c>
      <c r="E22" t="s">
        <v>92</v>
      </c>
      <c r="F22" t="s">
        <v>93</v>
      </c>
      <c r="G22" t="s">
        <v>94</v>
      </c>
      <c r="I22" t="s">
        <v>117</v>
      </c>
      <c r="J22" t="s">
        <v>118</v>
      </c>
      <c r="K22" t="s">
        <v>119</v>
      </c>
      <c r="M22" t="s">
        <v>114</v>
      </c>
      <c r="N22" t="s">
        <v>115</v>
      </c>
      <c r="O22" t="s">
        <v>116</v>
      </c>
      <c r="T22" t="s">
        <v>277</v>
      </c>
      <c r="U22">
        <v>150</v>
      </c>
    </row>
    <row r="23" spans="1:23" x14ac:dyDescent="0.25">
      <c r="A23" t="s">
        <v>126</v>
      </c>
      <c r="B23" t="s">
        <v>126</v>
      </c>
      <c r="C23" t="s">
        <v>126</v>
      </c>
      <c r="D23" t="s">
        <v>126</v>
      </c>
      <c r="E23" t="s">
        <v>126</v>
      </c>
      <c r="F23" t="s">
        <v>126</v>
      </c>
      <c r="G23" t="s">
        <v>126</v>
      </c>
      <c r="I23" t="s">
        <v>126</v>
      </c>
      <c r="J23" t="s">
        <v>126</v>
      </c>
      <c r="K23" t="s">
        <v>126</v>
      </c>
      <c r="M23" t="s">
        <v>126</v>
      </c>
      <c r="N23" t="s">
        <v>126</v>
      </c>
      <c r="O23" t="s">
        <v>126</v>
      </c>
      <c r="T23" t="s">
        <v>276</v>
      </c>
      <c r="U23">
        <v>350</v>
      </c>
    </row>
    <row r="24" spans="1:23" x14ac:dyDescent="0.25">
      <c r="G24" t="s">
        <v>135</v>
      </c>
      <c r="I24" t="s">
        <v>135</v>
      </c>
      <c r="J24" t="s">
        <v>128</v>
      </c>
      <c r="K24" t="s">
        <v>127</v>
      </c>
      <c r="T24" t="s">
        <v>271</v>
      </c>
      <c r="U24">
        <v>350</v>
      </c>
    </row>
    <row r="25" spans="1:23" x14ac:dyDescent="0.25">
      <c r="G25" t="s">
        <v>134</v>
      </c>
      <c r="T25" t="s">
        <v>268</v>
      </c>
      <c r="U25">
        <v>350</v>
      </c>
    </row>
    <row r="26" spans="1:23" ht="15.75" thickBot="1" x14ac:dyDescent="0.3">
      <c r="T26" t="s">
        <v>273</v>
      </c>
      <c r="U26">
        <v>350</v>
      </c>
    </row>
    <row r="27" spans="1:23" x14ac:dyDescent="0.25">
      <c r="A27" s="13">
        <v>1</v>
      </c>
      <c r="B27" s="14">
        <v>2</v>
      </c>
      <c r="C27" s="14">
        <v>3</v>
      </c>
      <c r="D27" s="14">
        <v>4</v>
      </c>
      <c r="E27" s="14">
        <v>5</v>
      </c>
      <c r="F27" s="14">
        <v>6</v>
      </c>
      <c r="G27" s="14">
        <v>7</v>
      </c>
      <c r="H27" s="14">
        <v>8</v>
      </c>
      <c r="I27" s="14">
        <v>9</v>
      </c>
      <c r="J27" s="15">
        <v>10</v>
      </c>
      <c r="T27" t="s">
        <v>274</v>
      </c>
      <c r="U27">
        <v>242</v>
      </c>
    </row>
    <row r="28" spans="1:23" ht="15.75" thickBot="1" x14ac:dyDescent="0.3">
      <c r="A28" s="16" t="str">
        <f ca="1">TRIM(MID(SUBSTITUTE('Character Offensive Stats'!$G2,",",REPT(" ",LEN('Character Offensive Stats'!$G2))),(A$27-1)*LEN('Character Offensive Stats'!$G2)+1,LEN('Character Offensive Stats'!$G2)))</f>
        <v>Melee Damage</v>
      </c>
      <c r="B28" s="17" t="str">
        <f ca="1">TRIM(MID(SUBSTITUTE('Character Offensive Stats'!$G2,",",REPT(" ",LEN('Character Offensive Stats'!$G2))),(B$27-1)*LEN('Character Offensive Stats'!$G2)+1,LEN('Character Offensive Stats'!$G2)))</f>
        <v>Fire Damage</v>
      </c>
      <c r="C28" s="17" t="str">
        <f ca="1">TRIM(MID(SUBSTITUTE('Character Offensive Stats'!$G2,",",REPT(" ",LEN('Character Offensive Stats'!$G2))),(C$27-1)*LEN('Character Offensive Stats'!$G2)+1,LEN('Character Offensive Stats'!$G2)))</f>
        <v>Elemental Damage</v>
      </c>
      <c r="D28" s="17" t="str">
        <f ca="1">TRIM(MID(SUBSTITUTE('Character Offensive Stats'!$G2,",",REPT(" ",LEN('Character Offensive Stats'!$G2))),(D$27-1)*LEN('Character Offensive Stats'!$G2)+1,LEN('Character Offensive Stats'!$G2)))</f>
        <v>Direct Damage</v>
      </c>
      <c r="E28" s="17" t="str">
        <f ca="1">TRIM(MID(SUBSTITUTE('Character Offensive Stats'!$G2,",",REPT(" ",LEN('Character Offensive Stats'!$G2))),(E$27-1)*LEN('Character Offensive Stats'!$G2)+1,LEN('Character Offensive Stats'!$G2)))</f>
        <v/>
      </c>
      <c r="F28" s="17" t="str">
        <f ca="1">TRIM(MID(SUBSTITUTE('Character Offensive Stats'!$G2,",",REPT(" ",LEN('Character Offensive Stats'!$G2))),(F$27-1)*LEN('Character Offensive Stats'!$G2)+1,LEN('Character Offensive Stats'!$G2)))</f>
        <v/>
      </c>
      <c r="G28" s="17" t="str">
        <f ca="1">TRIM(MID(SUBSTITUTE('Character Offensive Stats'!$G2,",",REPT(" ",LEN('Character Offensive Stats'!$G2))),(G$27-1)*LEN('Character Offensive Stats'!$G2)+1,LEN('Character Offensive Stats'!$G2)))</f>
        <v/>
      </c>
      <c r="H28" s="17" t="str">
        <f ca="1">TRIM(MID(SUBSTITUTE('Character Offensive Stats'!$G2,",",REPT(" ",LEN('Character Offensive Stats'!$G2))),(H$27-1)*LEN('Character Offensive Stats'!$G2)+1,LEN('Character Offensive Stats'!$G2)))</f>
        <v/>
      </c>
      <c r="I28" s="17" t="str">
        <f ca="1">TRIM(MID(SUBSTITUTE('Character Offensive Stats'!$G2,",",REPT(" ",LEN('Character Offensive Stats'!$G2))),(I$27-1)*LEN('Character Offensive Stats'!$G2)+1,LEN('Character Offensive Stats'!$G2)))</f>
        <v/>
      </c>
      <c r="J28" s="18" t="str">
        <f ca="1">TRIM(MID(SUBSTITUTE('Character Offensive Stats'!$G2,",",REPT(" ",LEN('Character Offensive Stats'!$G2))),(J$27-1)*LEN('Character Offensive Stats'!$G2)+1,LEN('Character Offensive Stats'!$G2)))</f>
        <v/>
      </c>
    </row>
    <row r="29" spans="1:23" x14ac:dyDescent="0.25">
      <c r="A29" s="13">
        <v>1</v>
      </c>
      <c r="B29" s="14">
        <v>2</v>
      </c>
      <c r="C29" s="14">
        <v>3</v>
      </c>
      <c r="D29" s="14">
        <v>4</v>
      </c>
      <c r="E29" s="14">
        <v>5</v>
      </c>
      <c r="F29" s="14">
        <v>6</v>
      </c>
      <c r="G29" s="14">
        <v>7</v>
      </c>
      <c r="H29" s="14">
        <v>8</v>
      </c>
      <c r="I29" s="14">
        <v>9</v>
      </c>
      <c r="J29" s="15">
        <v>10</v>
      </c>
    </row>
    <row r="30" spans="1:23" ht="15.75" thickBot="1" x14ac:dyDescent="0.3">
      <c r="A30" s="16" t="str">
        <f ca="1">TRIM(MID(SUBSTITUTE('Character Offensive Stats'!$G11,",",REPT(" ",LEN('Character Offensive Stats'!$G11))),(A$27-1)*LEN('Character Offensive Stats'!$G11)+1,LEN('Character Offensive Stats'!$G11)))</f>
        <v>Fire Damage</v>
      </c>
      <c r="B30" s="17" t="str">
        <f ca="1">TRIM(MID(SUBSTITUTE('Character Offensive Stats'!$G11,",",REPT(" ",LEN('Character Offensive Stats'!$G11))),(B$27-1)*LEN('Character Offensive Stats'!$G11)+1,LEN('Character Offensive Stats'!$G11)))</f>
        <v>Elemental Damage</v>
      </c>
      <c r="C30" s="17" t="str">
        <f ca="1">TRIM(MID(SUBSTITUTE('Character Offensive Stats'!$G11,",",REPT(" ",LEN('Character Offensive Stats'!$G11))),(C$27-1)*LEN('Character Offensive Stats'!$G11)+1,LEN('Character Offensive Stats'!$G11)))</f>
        <v>Area Damage</v>
      </c>
      <c r="D30" s="17" t="str">
        <f ca="1">TRIM(MID(SUBSTITUTE('Character Offensive Stats'!$G11,",",REPT(" ",LEN('Character Offensive Stats'!$G11))),(D$27-1)*LEN('Character Offensive Stats'!$G11)+1,LEN('Character Offensive Stats'!$G11)))</f>
        <v/>
      </c>
      <c r="E30" s="17" t="str">
        <f ca="1">TRIM(MID(SUBSTITUTE('Character Offensive Stats'!$G11,",",REPT(" ",LEN('Character Offensive Stats'!$G11))),(E$27-1)*LEN('Character Offensive Stats'!$G11)+1,LEN('Character Offensive Stats'!$G11)))</f>
        <v/>
      </c>
      <c r="F30" s="17" t="str">
        <f ca="1">TRIM(MID(SUBSTITUTE('Character Offensive Stats'!$G11,",",REPT(" ",LEN('Character Offensive Stats'!$G11))),(F$27-1)*LEN('Character Offensive Stats'!$G11)+1,LEN('Character Offensive Stats'!$G11)))</f>
        <v/>
      </c>
      <c r="G30" s="17" t="str">
        <f ca="1">TRIM(MID(SUBSTITUTE('Character Offensive Stats'!$G11,",",REPT(" ",LEN('Character Offensive Stats'!$G11))),(G$27-1)*LEN('Character Offensive Stats'!$G11)+1,LEN('Character Offensive Stats'!$G11)))</f>
        <v/>
      </c>
      <c r="H30" s="17" t="str">
        <f ca="1">TRIM(MID(SUBSTITUTE('Character Offensive Stats'!$G11,",",REPT(" ",LEN('Character Offensive Stats'!$G11))),(H$27-1)*LEN('Character Offensive Stats'!$G11)+1,LEN('Character Offensive Stats'!$G11)))</f>
        <v/>
      </c>
      <c r="I30" s="17" t="str">
        <f ca="1">TRIM(MID(SUBSTITUTE('Character Offensive Stats'!$G11,",",REPT(" ",LEN('Character Offensive Stats'!$G11))),(I$27-1)*LEN('Character Offensive Stats'!$G11)+1,LEN('Character Offensive Stats'!$G11)))</f>
        <v/>
      </c>
      <c r="J30" s="18" t="str">
        <f ca="1">TRIM(MID(SUBSTITUTE('Character Offensive Stats'!$G11,",",REPT(" ",LEN('Character Offensive Stats'!$G11))),(J$27-1)*LEN('Character Offensive Stats'!$G11)+1,LEN('Character Offensive Stats'!$G11)))</f>
        <v/>
      </c>
    </row>
    <row r="32" spans="1:23" x14ac:dyDescent="0.25">
      <c r="A32" t="s">
        <v>136</v>
      </c>
      <c r="B32" t="s">
        <v>284</v>
      </c>
      <c r="C32" s="1">
        <v>1</v>
      </c>
    </row>
    <row r="33" spans="1:13" x14ac:dyDescent="0.25">
      <c r="A33" t="s">
        <v>138</v>
      </c>
      <c r="B33" s="1">
        <f>'Character Offensive Stats'!B22+'Character Offensive Stats'!B23+'Character Offensive Stats'!B32</f>
        <v>1</v>
      </c>
      <c r="C33" s="1">
        <v>1</v>
      </c>
    </row>
    <row r="34" spans="1:13" x14ac:dyDescent="0.25">
      <c r="A34" t="s">
        <v>139</v>
      </c>
      <c r="B34" s="1">
        <f>'Character Offensive Stats'!B22+'Character Offensive Stats'!B23+'Character Offensive Stats'!B30+'Character Offensive Stats'!B32</f>
        <v>1</v>
      </c>
    </row>
    <row r="35" spans="1:13" x14ac:dyDescent="0.25">
      <c r="A35" t="s">
        <v>140</v>
      </c>
      <c r="B35" s="1">
        <f>'Character Offensive Stats'!B22+'Character Offensive Stats'!B23+'Character Offensive Stats'!B28+'Character Offensive Stats'!B32</f>
        <v>1</v>
      </c>
    </row>
    <row r="37" spans="1:13" x14ac:dyDescent="0.25">
      <c r="A37" t="s">
        <v>162</v>
      </c>
      <c r="C37" s="1">
        <v>0.5</v>
      </c>
      <c r="E37" s="28"/>
      <c r="F37" s="28"/>
      <c r="G37" s="28"/>
      <c r="H37" s="28" t="s">
        <v>230</v>
      </c>
      <c r="I37" s="28"/>
      <c r="J37" s="28"/>
      <c r="K37" s="28"/>
      <c r="L37" s="28"/>
      <c r="M37" s="28"/>
    </row>
    <row r="38" spans="1:13" x14ac:dyDescent="0.25">
      <c r="A38" t="s">
        <v>180</v>
      </c>
      <c r="B38" s="1">
        <f>'Character Offensive Stats'!B22+'Character Offensive Stats'!B23+'Character Offensive Stats'!B26</f>
        <v>1</v>
      </c>
      <c r="C38" s="1">
        <v>1</v>
      </c>
      <c r="E38" s="28" t="s">
        <v>13</v>
      </c>
      <c r="F38" s="29" t="s">
        <v>29</v>
      </c>
      <c r="G38" s="28"/>
      <c r="H38" s="28"/>
      <c r="I38" s="28"/>
      <c r="J38" s="28"/>
      <c r="K38" s="28"/>
      <c r="L38" s="28"/>
      <c r="M38" s="28"/>
    </row>
    <row r="39" spans="1:13" x14ac:dyDescent="0.25">
      <c r="A39" t="s">
        <v>209</v>
      </c>
      <c r="B39" s="1">
        <f>'Character Offensive Stats'!B22+'Character Offensive Stats'!B23+'Character Offensive Stats'!B29+'Character Offensive Stats'!B32</f>
        <v>1</v>
      </c>
      <c r="E39" s="28" t="s">
        <v>28</v>
      </c>
      <c r="F39" s="28">
        <v>121</v>
      </c>
      <c r="G39" s="28" t="s">
        <v>15</v>
      </c>
      <c r="H39" s="29" t="s">
        <v>32</v>
      </c>
      <c r="I39" s="28" t="s">
        <v>33</v>
      </c>
      <c r="J39" s="28"/>
      <c r="K39" s="28"/>
      <c r="L39" s="28"/>
      <c r="M39" s="28"/>
    </row>
    <row r="40" spans="1:13" x14ac:dyDescent="0.25">
      <c r="E40" s="28"/>
      <c r="F40" s="28"/>
      <c r="G40" s="28"/>
      <c r="H40" s="28"/>
      <c r="I40" s="28" t="s">
        <v>34</v>
      </c>
      <c r="J40" s="28"/>
      <c r="K40" s="28"/>
      <c r="L40" s="28"/>
      <c r="M40" s="28"/>
    </row>
    <row r="41" spans="1:13" x14ac:dyDescent="0.25">
      <c r="A41" t="s">
        <v>163</v>
      </c>
      <c r="C41" s="1">
        <v>1.2</v>
      </c>
    </row>
    <row r="42" spans="1:13" x14ac:dyDescent="0.25">
      <c r="A42" t="s">
        <v>181</v>
      </c>
      <c r="B42" s="1">
        <f>'Character Offensive Stats'!B22+'Character Offensive Stats'!B23+'Character Offensive Stats'!B27+'Character Offensive Stats'!B26</f>
        <v>1</v>
      </c>
      <c r="C42" s="1">
        <v>1.2</v>
      </c>
    </row>
    <row r="43" spans="1:13" x14ac:dyDescent="0.25">
      <c r="A43" t="s">
        <v>182</v>
      </c>
      <c r="B43" s="1">
        <f>'Character Offensive Stats'!B22+'Character Offensive Stats'!B24+'Character Offensive Stats'!B27+'Character Offensive Stats'!B26</f>
        <v>1</v>
      </c>
    </row>
    <row r="44" spans="1:13" x14ac:dyDescent="0.25">
      <c r="G44" s="28" t="s">
        <v>231</v>
      </c>
      <c r="H44" s="28"/>
      <c r="I44" s="28"/>
      <c r="J44" s="28"/>
    </row>
    <row r="45" spans="1:13" x14ac:dyDescent="0.25">
      <c r="A45" t="s">
        <v>164</v>
      </c>
      <c r="C45" s="1">
        <v>0.8</v>
      </c>
      <c r="G45" s="28" t="s">
        <v>6</v>
      </c>
      <c r="H45" s="28" t="s">
        <v>7</v>
      </c>
      <c r="I45" s="28">
        <v>0</v>
      </c>
      <c r="J45" s="28"/>
    </row>
    <row r="46" spans="1:13" x14ac:dyDescent="0.25">
      <c r="A46" t="s">
        <v>185</v>
      </c>
      <c r="B46" s="1">
        <f>'Character Offensive Stats'!B22+'Character Offensive Stats'!B23+'Character Offensive Stats'!B26</f>
        <v>1</v>
      </c>
      <c r="C46" s="1">
        <v>0.8</v>
      </c>
      <c r="G46" s="28" t="s">
        <v>30</v>
      </c>
      <c r="H46" s="28" t="s">
        <v>8</v>
      </c>
      <c r="I46" s="28">
        <v>0</v>
      </c>
      <c r="J46" s="28"/>
    </row>
    <row r="47" spans="1:13" x14ac:dyDescent="0.25">
      <c r="G47" s="28"/>
      <c r="H47" s="28" t="s">
        <v>9</v>
      </c>
      <c r="I47" s="28">
        <v>0</v>
      </c>
      <c r="J47" s="28"/>
    </row>
    <row r="48" spans="1:13" x14ac:dyDescent="0.25">
      <c r="A48" t="s">
        <v>165</v>
      </c>
      <c r="C48" s="1">
        <v>0.9</v>
      </c>
      <c r="G48" s="28"/>
      <c r="H48" s="28" t="s">
        <v>10</v>
      </c>
      <c r="I48" s="30" t="s">
        <v>52</v>
      </c>
      <c r="J48" s="28"/>
    </row>
    <row r="49" spans="1:13" x14ac:dyDescent="0.25">
      <c r="A49" t="s">
        <v>185</v>
      </c>
      <c r="B49" s="1">
        <f>'Character Offensive Stats'!B22+'Character Offensive Stats'!B23+'Character Offensive Stats'!B26</f>
        <v>1</v>
      </c>
      <c r="C49" s="1">
        <v>0.9</v>
      </c>
      <c r="G49" s="28"/>
      <c r="H49" s="28" t="s">
        <v>11</v>
      </c>
      <c r="I49" s="31">
        <v>0.05</v>
      </c>
      <c r="J49" s="28"/>
    </row>
    <row r="50" spans="1:13" x14ac:dyDescent="0.25">
      <c r="G50" s="28"/>
      <c r="H50" s="28" t="s">
        <v>12</v>
      </c>
      <c r="I50" s="31">
        <v>1.5</v>
      </c>
      <c r="J50" s="28"/>
    </row>
    <row r="51" spans="1:13" x14ac:dyDescent="0.25">
      <c r="A51" t="s">
        <v>166</v>
      </c>
      <c r="G51" s="28"/>
      <c r="H51" s="28" t="s">
        <v>13</v>
      </c>
      <c r="I51" s="30" t="s">
        <v>51</v>
      </c>
      <c r="J51" s="28"/>
    </row>
    <row r="52" spans="1:13" x14ac:dyDescent="0.25">
      <c r="A52" t="s">
        <v>185</v>
      </c>
      <c r="B52" s="1">
        <f>'Character Offensive Stats'!B22+'Character Offensive Stats'!B23+'Character Offensive Stats'!B26</f>
        <v>1</v>
      </c>
      <c r="C52" s="1">
        <v>1.4</v>
      </c>
      <c r="G52" s="28"/>
      <c r="H52" s="28" t="s">
        <v>14</v>
      </c>
      <c r="I52" s="30">
        <v>83.65</v>
      </c>
      <c r="J52" s="28"/>
    </row>
    <row r="53" spans="1:13" x14ac:dyDescent="0.25">
      <c r="A53" t="s">
        <v>186</v>
      </c>
      <c r="B53" s="1">
        <f>'Character Offensive Stats'!B22+'Character Offensive Stats'!B23+'Character Offensive Stats'!B29+'Character Offensive Stats'!B32</f>
        <v>1</v>
      </c>
      <c r="C53" s="1">
        <v>1.4</v>
      </c>
    </row>
    <row r="55" spans="1:13" x14ac:dyDescent="0.25">
      <c r="A55" t="s">
        <v>167</v>
      </c>
      <c r="C55" s="1">
        <v>1.2</v>
      </c>
    </row>
    <row r="56" spans="1:13" x14ac:dyDescent="0.25">
      <c r="A56" t="s">
        <v>187</v>
      </c>
      <c r="B56" s="1">
        <f>'Character Offensive Stats'!B22+'Character Offensive Stats'!B24+'Character Offensive Stats'!B28+'Character Offensive Stats'!B32</f>
        <v>1</v>
      </c>
      <c r="C56" s="1">
        <v>1.2</v>
      </c>
      <c r="F56" s="28" t="s">
        <v>260</v>
      </c>
      <c r="G56" s="28" t="s">
        <v>252</v>
      </c>
      <c r="H56" s="28" t="s">
        <v>253</v>
      </c>
      <c r="I56" s="28"/>
      <c r="J56" s="28"/>
      <c r="K56" s="28"/>
    </row>
    <row r="57" spans="1:13" x14ac:dyDescent="0.25">
      <c r="A57" t="s">
        <v>188</v>
      </c>
      <c r="B57" s="1">
        <f>'Character Offensive Stats'!B22+'Character Offensive Stats'!B24+'Character Offensive Stats'!B30+'Character Offensive Stats'!B32</f>
        <v>1</v>
      </c>
      <c r="F57" s="28" t="s">
        <v>261</v>
      </c>
      <c r="G57" s="28" t="s">
        <v>254</v>
      </c>
      <c r="H57" s="28" t="s">
        <v>255</v>
      </c>
      <c r="I57" s="28"/>
      <c r="J57" s="28"/>
      <c r="K57" s="28"/>
    </row>
    <row r="58" spans="1:13" x14ac:dyDescent="0.25">
      <c r="A58" s="27"/>
      <c r="F58" s="28" t="s">
        <v>260</v>
      </c>
      <c r="G58" s="28" t="s">
        <v>256</v>
      </c>
      <c r="H58" s="28" t="s">
        <v>257</v>
      </c>
      <c r="I58" s="28"/>
      <c r="J58" s="28"/>
      <c r="K58" s="28"/>
    </row>
    <row r="59" spans="1:13" x14ac:dyDescent="0.25">
      <c r="A59" t="s">
        <v>168</v>
      </c>
      <c r="C59" s="1">
        <v>4</v>
      </c>
      <c r="F59" s="28"/>
      <c r="G59" s="28"/>
      <c r="H59" s="28"/>
      <c r="I59" s="28"/>
      <c r="J59" s="28"/>
      <c r="K59" s="28"/>
    </row>
    <row r="60" spans="1:13" x14ac:dyDescent="0.25">
      <c r="A60" t="s">
        <v>189</v>
      </c>
      <c r="B60" s="1">
        <f>'Character Offensive Stats'!B22+'Character Offensive Stats'!B26</f>
        <v>1</v>
      </c>
      <c r="F60" s="28" t="s">
        <v>261</v>
      </c>
      <c r="G60" s="28" t="s">
        <v>258</v>
      </c>
      <c r="H60" s="28" t="s">
        <v>259</v>
      </c>
      <c r="I60" s="28"/>
      <c r="J60" s="28"/>
      <c r="K60" s="28"/>
    </row>
    <row r="61" spans="1:13" x14ac:dyDescent="0.25">
      <c r="A61" t="s">
        <v>190</v>
      </c>
      <c r="B61" s="1">
        <f>'Character Offensive Stats'!B22+'Character Offensive Stats'!B30+'Character Offensive Stats'!B32</f>
        <v>1</v>
      </c>
    </row>
    <row r="63" spans="1:13" x14ac:dyDescent="0.25">
      <c r="A63" t="s">
        <v>211</v>
      </c>
      <c r="C63" s="1">
        <v>2</v>
      </c>
    </row>
    <row r="64" spans="1:13" x14ac:dyDescent="0.25">
      <c r="A64" t="s">
        <v>191</v>
      </c>
      <c r="B64" s="1">
        <f>'Character Offensive Stats'!B22+'Character Offensive Stats'!B26</f>
        <v>1</v>
      </c>
      <c r="E64" s="28" t="s">
        <v>278</v>
      </c>
      <c r="F64" s="28"/>
      <c r="G64" s="28"/>
      <c r="H64" s="28"/>
      <c r="I64" s="28"/>
      <c r="J64" s="28"/>
      <c r="K64" s="28"/>
      <c r="L64" s="28"/>
      <c r="M64" s="28"/>
    </row>
    <row r="65" spans="1:13" x14ac:dyDescent="0.25">
      <c r="A65" t="s">
        <v>192</v>
      </c>
      <c r="B65" s="1">
        <f>'Character Offensive Stats'!B22+'Character Offensive Stats'!B28+'Character Offensive Stats'!B32</f>
        <v>1</v>
      </c>
      <c r="E65" s="28" t="s">
        <v>279</v>
      </c>
      <c r="F65" s="28"/>
      <c r="G65" s="28"/>
      <c r="H65" s="28"/>
      <c r="I65" s="28"/>
      <c r="J65" s="28"/>
      <c r="K65" s="28"/>
      <c r="L65" s="28"/>
      <c r="M65" s="28"/>
    </row>
    <row r="67" spans="1:13" x14ac:dyDescent="0.25">
      <c r="A67" t="s">
        <v>210</v>
      </c>
      <c r="C67" s="1">
        <v>4</v>
      </c>
    </row>
    <row r="68" spans="1:13" x14ac:dyDescent="0.25">
      <c r="A68" t="s">
        <v>191</v>
      </c>
      <c r="B68" s="1">
        <f>'Character Offensive Stats'!B22+'Character Offensive Stats'!B26</f>
        <v>1</v>
      </c>
    </row>
    <row r="69" spans="1:13" x14ac:dyDescent="0.25">
      <c r="A69" s="27"/>
    </row>
    <row r="70" spans="1:13" x14ac:dyDescent="0.25">
      <c r="A70" t="s">
        <v>169</v>
      </c>
      <c r="C70" s="1">
        <v>0.9</v>
      </c>
    </row>
    <row r="71" spans="1:13" x14ac:dyDescent="0.25">
      <c r="A71" t="s">
        <v>193</v>
      </c>
      <c r="B71" s="1">
        <f>'Character Offensive Stats'!B22+'Character Offensive Stats'!B24+'Character Offensive Stats'!B26</f>
        <v>1</v>
      </c>
      <c r="C71" s="1">
        <v>0.9</v>
      </c>
    </row>
    <row r="72" spans="1:13" x14ac:dyDescent="0.25">
      <c r="A72" t="s">
        <v>194</v>
      </c>
      <c r="B72" s="1">
        <f>'Character Offensive Stats'!B22+'Character Offensive Stats'!B29+'Character Offensive Stats'!B32</f>
        <v>1</v>
      </c>
    </row>
    <row r="74" spans="1:13" x14ac:dyDescent="0.25">
      <c r="A74" t="s">
        <v>170</v>
      </c>
      <c r="C74" s="1">
        <v>0.8</v>
      </c>
    </row>
    <row r="75" spans="1:13" x14ac:dyDescent="0.25">
      <c r="A75" t="s">
        <v>185</v>
      </c>
      <c r="B75" s="1">
        <f>'Character Offensive Stats'!B22+'Character Offensive Stats'!B23+'Character Offensive Stats'!B26</f>
        <v>1</v>
      </c>
      <c r="C75" s="1">
        <v>0.8</v>
      </c>
    </row>
    <row r="77" spans="1:13" x14ac:dyDescent="0.25">
      <c r="A77" t="s">
        <v>171</v>
      </c>
      <c r="C77" s="1">
        <v>1</v>
      </c>
    </row>
    <row r="78" spans="1:13" x14ac:dyDescent="0.25">
      <c r="A78" t="s">
        <v>187</v>
      </c>
      <c r="B78" s="1">
        <f>'Character Offensive Stats'!B22+'Character Offensive Stats'!B24+'Character Offensive Stats'!B28+'Character Offensive Stats'!B32</f>
        <v>1</v>
      </c>
      <c r="C78" s="1">
        <v>1</v>
      </c>
    </row>
    <row r="79" spans="1:13" x14ac:dyDescent="0.25">
      <c r="A79" t="s">
        <v>188</v>
      </c>
      <c r="B79" s="1">
        <f>'Character Offensive Stats'!B22+'Character Offensive Stats'!B30+'Character Offensive Stats'!B32</f>
        <v>1</v>
      </c>
    </row>
    <row r="81" spans="1:3" x14ac:dyDescent="0.25">
      <c r="A81" t="s">
        <v>172</v>
      </c>
      <c r="C81" s="1">
        <v>0.3</v>
      </c>
    </row>
    <row r="82" spans="1:3" x14ac:dyDescent="0.25">
      <c r="A82" t="s">
        <v>182</v>
      </c>
      <c r="B82" s="1">
        <f>'Character Offensive Stats'!B22+'Character Offensive Stats'!B24+'Character Offensive Stats'!B27+'Character Offensive Stats'!B26</f>
        <v>1</v>
      </c>
      <c r="C82" s="1">
        <v>1</v>
      </c>
    </row>
    <row r="83" spans="1:3" x14ac:dyDescent="0.25">
      <c r="A83" t="s">
        <v>181</v>
      </c>
      <c r="B83" s="1">
        <f>'Character Offensive Stats'!B22+'Character Offensive Stats'!B23+'Character Offensive Stats'!B27+'Character Offensive Stats'!B26</f>
        <v>1</v>
      </c>
    </row>
    <row r="85" spans="1:3" x14ac:dyDescent="0.25">
      <c r="A85" t="s">
        <v>173</v>
      </c>
      <c r="C85" s="1">
        <v>1</v>
      </c>
    </row>
    <row r="86" spans="1:3" x14ac:dyDescent="0.25">
      <c r="A86" t="s">
        <v>185</v>
      </c>
      <c r="B86" s="1">
        <f>'Character Offensive Stats'!B22+'Character Offensive Stats'!B23+'Character Offensive Stats'!B26</f>
        <v>1</v>
      </c>
      <c r="C86" s="1">
        <v>1</v>
      </c>
    </row>
    <row r="88" spans="1:3" x14ac:dyDescent="0.25">
      <c r="A88" t="s">
        <v>174</v>
      </c>
      <c r="C88" s="1">
        <v>1.2</v>
      </c>
    </row>
    <row r="89" spans="1:3" x14ac:dyDescent="0.25">
      <c r="A89" t="s">
        <v>195</v>
      </c>
      <c r="B89" s="1">
        <f>'Character Offensive Stats'!B22+'Character Offensive Stats'!B24+'Character Offensive Stats'!B26</f>
        <v>1</v>
      </c>
      <c r="C89" s="1">
        <v>1.2</v>
      </c>
    </row>
    <row r="90" spans="1:3" x14ac:dyDescent="0.25">
      <c r="A90" t="s">
        <v>196</v>
      </c>
      <c r="B90" s="1">
        <f>'Character Offensive Stats'!B22+'Character Offensive Stats'!B24+'Character Offensive Stats'!B28+'Character Offensive Stats'!B32</f>
        <v>1</v>
      </c>
    </row>
    <row r="91" spans="1:3" x14ac:dyDescent="0.25">
      <c r="A91" t="s">
        <v>197</v>
      </c>
      <c r="B91" s="1">
        <f>'Character Offensive Stats'!B22+'Character Offensive Stats'!B24+'Character Offensive Stats'!B30+'Character Offensive Stats'!B32</f>
        <v>1</v>
      </c>
    </row>
    <row r="93" spans="1:3" x14ac:dyDescent="0.25">
      <c r="A93" t="s">
        <v>175</v>
      </c>
    </row>
    <row r="94" spans="1:3" x14ac:dyDescent="0.25">
      <c r="A94" t="s">
        <v>193</v>
      </c>
      <c r="B94" s="1">
        <f>'Character Offensive Stats'!B22+'Character Offensive Stats'!B24+'Character Offensive Stats'!B26</f>
        <v>1</v>
      </c>
      <c r="C94" s="1">
        <v>1.7</v>
      </c>
    </row>
    <row r="95" spans="1:3" x14ac:dyDescent="0.25">
      <c r="A95" t="s">
        <v>194</v>
      </c>
      <c r="B95" s="1">
        <f>'Character Offensive Stats'!B22+'Character Offensive Stats'!B24+'Character Offensive Stats'!B29+'Character Offensive Stats'!B32</f>
        <v>1</v>
      </c>
      <c r="C95" s="1">
        <v>1.6</v>
      </c>
    </row>
    <row r="96" spans="1:3" x14ac:dyDescent="0.25">
      <c r="A96" s="27"/>
    </row>
    <row r="97" spans="1:3" x14ac:dyDescent="0.25">
      <c r="A97" t="s">
        <v>212</v>
      </c>
      <c r="C97" s="1">
        <v>2</v>
      </c>
    </row>
    <row r="98" spans="1:3" x14ac:dyDescent="0.25">
      <c r="A98" t="s">
        <v>189</v>
      </c>
      <c r="B98" s="1">
        <f>'Character Offensive Stats'!B22+'Character Offensive Stats'!B26</f>
        <v>1</v>
      </c>
    </row>
    <row r="99" spans="1:3" x14ac:dyDescent="0.25">
      <c r="A99" t="s">
        <v>198</v>
      </c>
      <c r="B99" s="1">
        <f>'Character Offensive Stats'!B22+'Character Offensive Stats'!B29+'Character Offensive Stats'!B32</f>
        <v>1</v>
      </c>
    </row>
    <row r="101" spans="1:3" x14ac:dyDescent="0.25">
      <c r="A101" t="s">
        <v>213</v>
      </c>
      <c r="C101" s="1">
        <v>6</v>
      </c>
    </row>
    <row r="102" spans="1:3" x14ac:dyDescent="0.25">
      <c r="A102" t="s">
        <v>199</v>
      </c>
      <c r="B102" s="1">
        <f>'Character Offensive Stats'!B22+'Character Offensive Stats'!B27+'Character Offensive Stats'!B26</f>
        <v>1</v>
      </c>
    </row>
    <row r="104" spans="1:3" x14ac:dyDescent="0.25">
      <c r="A104" t="s">
        <v>214</v>
      </c>
      <c r="C104" s="1">
        <v>2.5</v>
      </c>
    </row>
    <row r="105" spans="1:3" x14ac:dyDescent="0.25">
      <c r="A105" t="s">
        <v>191</v>
      </c>
      <c r="B105" s="1">
        <f>'Character Offensive Stats'!B22+'Character Offensive Stats'!B26</f>
        <v>1</v>
      </c>
    </row>
    <row r="106" spans="1:3" x14ac:dyDescent="0.25">
      <c r="A106" t="s">
        <v>192</v>
      </c>
      <c r="B106" s="1">
        <f>'Character Offensive Stats'!B22+'Character Offensive Stats'!B28+'Character Offensive Stats'!B32</f>
        <v>1</v>
      </c>
    </row>
    <row r="107" spans="1:3" x14ac:dyDescent="0.25">
      <c r="A107" s="27"/>
    </row>
    <row r="108" spans="1:3" x14ac:dyDescent="0.25">
      <c r="A108" t="s">
        <v>215</v>
      </c>
      <c r="C108" s="1">
        <v>0.9</v>
      </c>
    </row>
    <row r="109" spans="1:3" x14ac:dyDescent="0.25">
      <c r="A109" t="s">
        <v>204</v>
      </c>
      <c r="B109" s="1">
        <f>'Character Offensive Stats'!B22+'Character Offensive Stats'!B25+'Character Offensive Stats'!B28+'Character Offensive Stats'!B32</f>
        <v>1</v>
      </c>
      <c r="C109" s="1">
        <v>0.9</v>
      </c>
    </row>
    <row r="111" spans="1:3" x14ac:dyDescent="0.25">
      <c r="A111" t="s">
        <v>216</v>
      </c>
      <c r="C111" s="1">
        <v>1</v>
      </c>
    </row>
    <row r="112" spans="1:3" x14ac:dyDescent="0.25">
      <c r="A112" t="s">
        <v>205</v>
      </c>
      <c r="B112" s="1">
        <f>'Character Offensive Stats'!B22+'Character Offensive Stats'!B25+'Character Offensive Stats'!B31+'Character Offensive Stats'!B32</f>
        <v>1</v>
      </c>
      <c r="C112" s="1">
        <v>1</v>
      </c>
    </row>
    <row r="114" spans="1:3" x14ac:dyDescent="0.25">
      <c r="A114" t="s">
        <v>217</v>
      </c>
      <c r="C114" s="1">
        <v>0.8</v>
      </c>
    </row>
    <row r="115" spans="1:3" x14ac:dyDescent="0.25">
      <c r="A115" t="s">
        <v>206</v>
      </c>
      <c r="B115" s="1">
        <f>'Character Offensive Stats'!B22+'Character Offensive Stats'!B25+'Character Offensive Stats'!B29+'Character Offensive Stats'!B32</f>
        <v>1</v>
      </c>
      <c r="C115" s="1">
        <v>0.8</v>
      </c>
    </row>
    <row r="117" spans="1:3" x14ac:dyDescent="0.25">
      <c r="A117" t="s">
        <v>218</v>
      </c>
      <c r="C117" s="1">
        <v>1</v>
      </c>
    </row>
    <row r="118" spans="1:3" x14ac:dyDescent="0.25">
      <c r="A118" t="s">
        <v>186</v>
      </c>
      <c r="B118" s="1">
        <f>'Character Offensive Stats'!B22+'Character Offensive Stats'!B23+'Character Offensive Stats'!B29+'Character Offensive Stats'!B32</f>
        <v>1</v>
      </c>
      <c r="C118" s="1">
        <v>1</v>
      </c>
    </row>
    <row r="120" spans="1:3" x14ac:dyDescent="0.25">
      <c r="A120" t="s">
        <v>219</v>
      </c>
      <c r="C120" s="1">
        <v>0.8</v>
      </c>
    </row>
    <row r="121" spans="1:3" x14ac:dyDescent="0.25">
      <c r="A121" t="s">
        <v>207</v>
      </c>
      <c r="B121" s="1">
        <f>'Character Offensive Stats'!B22+'Character Offensive Stats'!B25+'Character Offensive Stats'!B30+'Character Offensive Stats'!B32</f>
        <v>1</v>
      </c>
      <c r="C121" s="1">
        <v>1</v>
      </c>
    </row>
    <row r="123" spans="1:3" x14ac:dyDescent="0.25">
      <c r="A123" t="s">
        <v>220</v>
      </c>
      <c r="C123" s="1">
        <v>1.2</v>
      </c>
    </row>
    <row r="124" spans="1:3" x14ac:dyDescent="0.25">
      <c r="A124" t="s">
        <v>207</v>
      </c>
      <c r="B124" s="1">
        <f>'Character Offensive Stats'!B22+'Character Offensive Stats'!B25+'Character Offensive Stats'!B30+'Character Offensive Stats'!B32</f>
        <v>1</v>
      </c>
      <c r="C124" s="1">
        <v>1.2</v>
      </c>
    </row>
    <row r="126" spans="1:3" x14ac:dyDescent="0.25">
      <c r="A126" t="s">
        <v>221</v>
      </c>
      <c r="C126" s="1">
        <v>1.4</v>
      </c>
    </row>
    <row r="127" spans="1:3" x14ac:dyDescent="0.25">
      <c r="A127" t="s">
        <v>204</v>
      </c>
      <c r="B127" s="1">
        <f>'Character Offensive Stats'!B22+'Character Offensive Stats'!B25+'Character Offensive Stats'!B28+'Character Offensive Stats'!B32</f>
        <v>1</v>
      </c>
      <c r="C127" s="1">
        <v>1.4</v>
      </c>
    </row>
    <row r="128" spans="1:3" x14ac:dyDescent="0.25">
      <c r="A128" t="s">
        <v>205</v>
      </c>
      <c r="B128" s="1">
        <f>'Character Offensive Stats'!B22+'Character Offensive Stats'!B25+'Character Offensive Stats'!B31+'Character Offensive Stats'!B32</f>
        <v>1</v>
      </c>
    </row>
    <row r="129" spans="1:3" x14ac:dyDescent="0.25">
      <c r="A129" t="s">
        <v>208</v>
      </c>
      <c r="B129" s="1">
        <f>'Character Offensive Stats'!B22+'Character Offensive Stats'!B25+'Character Offensive Stats'!B28+'Character Offensive Stats'!B29+'Character Offensive Stats'!B30+'Character Offensive Stats'!B31+'Character Offensive Stats'!B32</f>
        <v>1</v>
      </c>
    </row>
    <row r="130" spans="1:3" x14ac:dyDescent="0.25">
      <c r="A130" s="27"/>
    </row>
    <row r="131" spans="1:3" x14ac:dyDescent="0.25">
      <c r="A131" t="s">
        <v>222</v>
      </c>
      <c r="C131" s="1">
        <v>2</v>
      </c>
    </row>
    <row r="132" spans="1:3" x14ac:dyDescent="0.25">
      <c r="A132" t="s">
        <v>192</v>
      </c>
      <c r="B132" s="1">
        <f>'Character Offensive Stats'!B22+'Character Offensive Stats'!B28+'Character Offensive Stats'!B32</f>
        <v>1</v>
      </c>
    </row>
    <row r="133" spans="1:3" x14ac:dyDescent="0.25">
      <c r="A133" t="s">
        <v>200</v>
      </c>
      <c r="B133" s="1">
        <f>'Character Offensive Stats'!B22+'Character Offensive Stats'!B31+'Character Offensive Stats'!B32</f>
        <v>1</v>
      </c>
    </row>
    <row r="135" spans="1:3" x14ac:dyDescent="0.25">
      <c r="A135" t="s">
        <v>223</v>
      </c>
      <c r="C135" s="1">
        <v>2</v>
      </c>
    </row>
    <row r="136" spans="1:3" x14ac:dyDescent="0.25">
      <c r="A136" t="s">
        <v>201</v>
      </c>
      <c r="B136" s="1">
        <f>'Character Offensive Stats'!B22+'Character Offensive Stats'!B31+'Character Offensive Stats'!B32</f>
        <v>1</v>
      </c>
    </row>
    <row r="137" spans="1:3" x14ac:dyDescent="0.25">
      <c r="A137" t="s">
        <v>198</v>
      </c>
      <c r="B137" s="1">
        <f>'Character Offensive Stats'!B22+'Character Offensive Stats'!B29+'Character Offensive Stats'!B32</f>
        <v>1</v>
      </c>
    </row>
    <row r="139" spans="1:3" x14ac:dyDescent="0.25">
      <c r="A139" t="s">
        <v>224</v>
      </c>
      <c r="C139" s="1">
        <v>2.5</v>
      </c>
    </row>
    <row r="140" spans="1:3" x14ac:dyDescent="0.25">
      <c r="A140" t="s">
        <v>202</v>
      </c>
      <c r="B140" s="1">
        <f>'Character Offensive Stats'!B22+'Character Offensive Stats'!B29+'Character Offensive Stats'!B32</f>
        <v>1</v>
      </c>
    </row>
    <row r="141" spans="1:3" x14ac:dyDescent="0.25">
      <c r="A141" t="s">
        <v>203</v>
      </c>
      <c r="B141" s="1">
        <f>'Character Offensive Stats'!B22+'Character Offensive Stats'!B30+'Character Offensive Stats'!B32</f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V52"/>
  <sheetViews>
    <sheetView zoomScale="115" zoomScaleNormal="115" workbookViewId="0">
      <selection activeCell="Z1" sqref="Z1"/>
    </sheetView>
  </sheetViews>
  <sheetFormatPr defaultRowHeight="15" x14ac:dyDescent="0.25"/>
  <cols>
    <col min="1" max="1" width="3" bestFit="1" customWidth="1"/>
  </cols>
  <sheetData>
    <row r="1" spans="1:2" x14ac:dyDescent="0.25">
      <c r="A1" t="s">
        <v>149</v>
      </c>
      <c r="B1" t="s">
        <v>152</v>
      </c>
    </row>
    <row r="2" spans="1:2" x14ac:dyDescent="0.25">
      <c r="A2" t="s">
        <v>150</v>
      </c>
      <c r="B2" t="s">
        <v>157</v>
      </c>
    </row>
    <row r="3" spans="1:2" x14ac:dyDescent="0.25">
      <c r="B3" t="s">
        <v>237</v>
      </c>
    </row>
    <row r="6" spans="1:2" x14ac:dyDescent="0.25">
      <c r="A6" t="s">
        <v>149</v>
      </c>
      <c r="B6" t="s">
        <v>153</v>
      </c>
    </row>
    <row r="7" spans="1:2" x14ac:dyDescent="0.25">
      <c r="A7" t="s">
        <v>150</v>
      </c>
      <c r="B7" s="12" t="s">
        <v>154</v>
      </c>
    </row>
    <row r="10" spans="1:2" x14ac:dyDescent="0.25">
      <c r="A10" t="s">
        <v>149</v>
      </c>
      <c r="B10" t="s">
        <v>245</v>
      </c>
    </row>
    <row r="11" spans="1:2" x14ac:dyDescent="0.25">
      <c r="A11" t="s">
        <v>150</v>
      </c>
      <c r="B11" t="s">
        <v>249</v>
      </c>
    </row>
    <row r="12" spans="1:2" x14ac:dyDescent="0.25">
      <c r="B12" t="s">
        <v>248</v>
      </c>
    </row>
    <row r="13" spans="1:2" x14ac:dyDescent="0.25">
      <c r="B13" t="s">
        <v>262</v>
      </c>
    </row>
    <row r="16" spans="1:2" x14ac:dyDescent="0.25">
      <c r="A16" t="s">
        <v>149</v>
      </c>
      <c r="B16" t="s">
        <v>151</v>
      </c>
    </row>
    <row r="17" spans="1:2" x14ac:dyDescent="0.25">
      <c r="A17" t="s">
        <v>150</v>
      </c>
      <c r="B17" t="s">
        <v>155</v>
      </c>
    </row>
    <row r="20" spans="1:2" x14ac:dyDescent="0.25">
      <c r="A20" t="s">
        <v>149</v>
      </c>
      <c r="B20" t="s">
        <v>156</v>
      </c>
    </row>
    <row r="21" spans="1:2" x14ac:dyDescent="0.25">
      <c r="A21" t="s">
        <v>150</v>
      </c>
      <c r="B21" t="s">
        <v>238</v>
      </c>
    </row>
    <row r="24" spans="1:2" x14ac:dyDescent="0.25">
      <c r="A24" t="s">
        <v>149</v>
      </c>
      <c r="B24" t="s">
        <v>160</v>
      </c>
    </row>
    <row r="25" spans="1:2" x14ac:dyDescent="0.25">
      <c r="A25" t="s">
        <v>150</v>
      </c>
      <c r="B25" t="s">
        <v>308</v>
      </c>
    </row>
    <row r="28" spans="1:2" x14ac:dyDescent="0.25">
      <c r="A28" t="s">
        <v>149</v>
      </c>
      <c r="B28" t="s">
        <v>239</v>
      </c>
    </row>
    <row r="29" spans="1:2" x14ac:dyDescent="0.25">
      <c r="A29" t="s">
        <v>150</v>
      </c>
      <c r="B29" t="s">
        <v>161</v>
      </c>
    </row>
    <row r="32" spans="1:2" x14ac:dyDescent="0.25">
      <c r="A32" t="s">
        <v>149</v>
      </c>
      <c r="B32" t="s">
        <v>158</v>
      </c>
    </row>
    <row r="33" spans="1:22" x14ac:dyDescent="0.25">
      <c r="A33" t="s">
        <v>150</v>
      </c>
      <c r="B33" t="s">
        <v>159</v>
      </c>
    </row>
    <row r="36" spans="1:22" x14ac:dyDescent="0.25">
      <c r="A36" t="s">
        <v>149</v>
      </c>
      <c r="B36" t="s">
        <v>183</v>
      </c>
    </row>
    <row r="37" spans="1:22" x14ac:dyDescent="0.25">
      <c r="A37" t="s">
        <v>150</v>
      </c>
      <c r="B37" t="s">
        <v>184</v>
      </c>
    </row>
    <row r="40" spans="1:22" x14ac:dyDescent="0.25">
      <c r="A40" t="s">
        <v>149</v>
      </c>
      <c r="B40" t="s">
        <v>228</v>
      </c>
    </row>
    <row r="41" spans="1:22" x14ac:dyDescent="0.25">
      <c r="A41" t="s">
        <v>150</v>
      </c>
      <c r="B41" t="s">
        <v>229</v>
      </c>
    </row>
    <row r="44" spans="1:22" x14ac:dyDescent="0.25">
      <c r="A44" t="s">
        <v>149</v>
      </c>
      <c r="B44" t="s">
        <v>178</v>
      </c>
    </row>
    <row r="45" spans="1:22" ht="15" customHeight="1" x14ac:dyDescent="0.25">
      <c r="A45" t="s">
        <v>150</v>
      </c>
      <c r="B45" s="7" t="s">
        <v>309</v>
      </c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</row>
    <row r="46" spans="1:22" x14ac:dyDescent="0.25">
      <c r="B46" s="7" t="s">
        <v>176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</row>
    <row r="47" spans="1:22" x14ac:dyDescent="0.25">
      <c r="B47" s="7" t="s">
        <v>177</v>
      </c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</row>
    <row r="48" spans="1:22" x14ac:dyDescent="0.25">
      <c r="B48" t="s">
        <v>179</v>
      </c>
    </row>
    <row r="51" spans="1:2" x14ac:dyDescent="0.25">
      <c r="A51" t="s">
        <v>149</v>
      </c>
      <c r="B51" t="s">
        <v>310</v>
      </c>
    </row>
    <row r="52" spans="1:2" x14ac:dyDescent="0.25">
      <c r="A52" t="s">
        <v>150</v>
      </c>
    </row>
  </sheetData>
  <sheetProtection password="CCFD" sheet="1" objects="1" scenarios="1"/>
  <hyperlinks>
    <hyperlink ref="B7" r:id="rId1" xr:uid="{00000000-0004-0000-0400-000000000000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T39"/>
  <sheetViews>
    <sheetView workbookViewId="0">
      <selection activeCell="AC1" sqref="AC1"/>
    </sheetView>
  </sheetViews>
  <sheetFormatPr defaultRowHeight="15" x14ac:dyDescent="0.25"/>
  <sheetData>
    <row r="1" spans="1:20" x14ac:dyDescent="0.2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112" t="s">
        <v>45</v>
      </c>
    </row>
    <row r="2" spans="1:20" x14ac:dyDescent="0.25">
      <c r="A2" t="s">
        <v>40</v>
      </c>
      <c r="S2" s="113"/>
    </row>
    <row r="3" spans="1:20" x14ac:dyDescent="0.25">
      <c r="A3" t="s">
        <v>39</v>
      </c>
      <c r="S3" s="113"/>
    </row>
    <row r="4" spans="1:20" x14ac:dyDescent="0.25">
      <c r="S4" s="113"/>
    </row>
    <row r="5" spans="1:20" x14ac:dyDescent="0.25">
      <c r="A5" t="s">
        <v>35</v>
      </c>
      <c r="S5" s="113"/>
    </row>
    <row r="6" spans="1:20" x14ac:dyDescent="0.25">
      <c r="A6" t="s">
        <v>36</v>
      </c>
      <c r="S6" s="113"/>
      <c r="T6" t="s">
        <v>311</v>
      </c>
    </row>
    <row r="7" spans="1:20" x14ac:dyDescent="0.25">
      <c r="A7" t="s">
        <v>37</v>
      </c>
      <c r="S7" s="113"/>
    </row>
    <row r="8" spans="1:20" x14ac:dyDescent="0.25">
      <c r="S8" s="113"/>
    </row>
    <row r="9" spans="1:20" x14ac:dyDescent="0.25">
      <c r="A9" t="s">
        <v>41</v>
      </c>
      <c r="S9" s="113"/>
    </row>
    <row r="10" spans="1:20" x14ac:dyDescent="0.25">
      <c r="A10" t="s">
        <v>42</v>
      </c>
      <c r="S10" s="113"/>
    </row>
    <row r="11" spans="1:20" x14ac:dyDescent="0.25">
      <c r="A11" s="26"/>
      <c r="B11" s="26" t="s">
        <v>43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114"/>
    </row>
    <row r="12" spans="1:20" x14ac:dyDescent="0.25">
      <c r="S12" s="84"/>
    </row>
    <row r="13" spans="1:20" x14ac:dyDescent="0.25">
      <c r="S13" s="84"/>
    </row>
    <row r="15" spans="1:20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112" t="s">
        <v>45</v>
      </c>
    </row>
    <row r="16" spans="1:20" x14ac:dyDescent="0.25">
      <c r="S16" s="113"/>
    </row>
    <row r="17" spans="1:20" x14ac:dyDescent="0.25">
      <c r="S17" s="113"/>
    </row>
    <row r="18" spans="1:20" x14ac:dyDescent="0.25">
      <c r="A18" t="s">
        <v>47</v>
      </c>
      <c r="S18" s="113"/>
    </row>
    <row r="19" spans="1:20" x14ac:dyDescent="0.25">
      <c r="B19" t="s">
        <v>48</v>
      </c>
      <c r="S19" s="113"/>
    </row>
    <row r="20" spans="1:20" x14ac:dyDescent="0.25">
      <c r="S20" s="113"/>
      <c r="T20" t="s">
        <v>312</v>
      </c>
    </row>
    <row r="21" spans="1:20" x14ac:dyDescent="0.25">
      <c r="A21" t="s">
        <v>49</v>
      </c>
      <c r="S21" s="113"/>
    </row>
    <row r="22" spans="1:20" x14ac:dyDescent="0.25">
      <c r="B22" t="s">
        <v>50</v>
      </c>
      <c r="S22" s="113"/>
    </row>
    <row r="23" spans="1:20" x14ac:dyDescent="0.25">
      <c r="S23" s="113"/>
    </row>
    <row r="24" spans="1:20" x14ac:dyDescent="0.25">
      <c r="S24" s="113"/>
    </row>
    <row r="25" spans="1:20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114"/>
    </row>
    <row r="26" spans="1:20" x14ac:dyDescent="0.25">
      <c r="S26" s="84"/>
    </row>
    <row r="27" spans="1:20" x14ac:dyDescent="0.25">
      <c r="S27" s="84"/>
    </row>
    <row r="29" spans="1:20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112" t="s">
        <v>45</v>
      </c>
    </row>
    <row r="30" spans="1:20" x14ac:dyDescent="0.25">
      <c r="S30" s="113"/>
    </row>
    <row r="31" spans="1:20" x14ac:dyDescent="0.25">
      <c r="S31" s="113"/>
    </row>
    <row r="32" spans="1:20" x14ac:dyDescent="0.25">
      <c r="S32" s="113"/>
    </row>
    <row r="33" spans="1:20" x14ac:dyDescent="0.25">
      <c r="S33" s="113"/>
    </row>
    <row r="34" spans="1:20" x14ac:dyDescent="0.25">
      <c r="A34" t="s">
        <v>247</v>
      </c>
      <c r="S34" s="113"/>
      <c r="T34" t="s">
        <v>313</v>
      </c>
    </row>
    <row r="35" spans="1:20" x14ac:dyDescent="0.25">
      <c r="S35" s="113"/>
    </row>
    <row r="36" spans="1:20" x14ac:dyDescent="0.25">
      <c r="S36" s="113"/>
    </row>
    <row r="37" spans="1:20" x14ac:dyDescent="0.25">
      <c r="S37" s="113"/>
    </row>
    <row r="38" spans="1:20" x14ac:dyDescent="0.25">
      <c r="S38" s="113"/>
    </row>
    <row r="39" spans="1:20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114"/>
    </row>
  </sheetData>
  <sheetProtection password="CCFD" sheet="1" objects="1" scenarios="1"/>
  <mergeCells count="3">
    <mergeCell ref="S1:S11"/>
    <mergeCell ref="S15:S25"/>
    <mergeCell ref="S29:S3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81</vt:i4>
      </vt:variant>
    </vt:vector>
  </HeadingPairs>
  <TitlesOfParts>
    <vt:vector size="87" baseType="lpstr">
      <vt:lpstr>Contributors</vt:lpstr>
      <vt:lpstr>Character Offensive Stats</vt:lpstr>
      <vt:lpstr>Attributes &amp; Paragons</vt:lpstr>
      <vt:lpstr>Hidden</vt:lpstr>
      <vt:lpstr>Q&amp;As Nobody Asked For</vt:lpstr>
      <vt:lpstr>References</vt:lpstr>
      <vt:lpstr>ArcaneCloak</vt:lpstr>
      <vt:lpstr>ArcaneExplosion</vt:lpstr>
      <vt:lpstr>ArcaneExplosionFormulas</vt:lpstr>
      <vt:lpstr>ArcaneTorrent</vt:lpstr>
      <vt:lpstr>ArcaneTorrentFormulas</vt:lpstr>
      <vt:lpstr>ArmourBreak</vt:lpstr>
      <vt:lpstr>ArmourBreakFormulas</vt:lpstr>
      <vt:lpstr>Barrage</vt:lpstr>
      <vt:lpstr>BarrageFormulas</vt:lpstr>
      <vt:lpstr>BladeFlurry</vt:lpstr>
      <vt:lpstr>BladeFlurryFormulas</vt:lpstr>
      <vt:lpstr>Blizzard</vt:lpstr>
      <vt:lpstr>BlizzardFormulas</vt:lpstr>
      <vt:lpstr>ChainLightning</vt:lpstr>
      <vt:lpstr>ChainLightningFormulas</vt:lpstr>
      <vt:lpstr>Cleave</vt:lpstr>
      <vt:lpstr>CleaveFormulas</vt:lpstr>
      <vt:lpstr>CripplingPoison</vt:lpstr>
      <vt:lpstr>DefensiveStance</vt:lpstr>
      <vt:lpstr>Disable</vt:lpstr>
      <vt:lpstr>DisableFormulas</vt:lpstr>
      <vt:lpstr>DragonsRoar</vt:lpstr>
      <vt:lpstr>DragonsRoarFormulas</vt:lpstr>
      <vt:lpstr>Earthquake</vt:lpstr>
      <vt:lpstr>EarthquakeFormulas</vt:lpstr>
      <vt:lpstr>ExplosiveShot</vt:lpstr>
      <vt:lpstr>ExplosiveShotFormulas</vt:lpstr>
      <vt:lpstr>FireArrow</vt:lpstr>
      <vt:lpstr>FireArrowFormulas</vt:lpstr>
      <vt:lpstr>Fireball</vt:lpstr>
      <vt:lpstr>FireballFormulas</vt:lpstr>
      <vt:lpstr>Firestorm</vt:lpstr>
      <vt:lpstr>FirestormFormulas</vt:lpstr>
      <vt:lpstr>Frostbolt</vt:lpstr>
      <vt:lpstr>FrostboltFormulas</vt:lpstr>
      <vt:lpstr>FrostNova</vt:lpstr>
      <vt:lpstr>FrostStrike</vt:lpstr>
      <vt:lpstr>FrostStrikeFormulas</vt:lpstr>
      <vt:lpstr>GroundSlam</vt:lpstr>
      <vt:lpstr>ImposingCry</vt:lpstr>
      <vt:lpstr>M_Defaults</vt:lpstr>
      <vt:lpstr>M_Defensive</vt:lpstr>
      <vt:lpstr>M_Offensive</vt:lpstr>
      <vt:lpstr>Mage</vt:lpstr>
      <vt:lpstr>Meteor</vt:lpstr>
      <vt:lpstr>MeteorFormulas</vt:lpstr>
      <vt:lpstr>PinDown</vt:lpstr>
      <vt:lpstr>PinDownFormulas</vt:lpstr>
      <vt:lpstr>PoisonSting</vt:lpstr>
      <vt:lpstr>PoisonStingFormulas</vt:lpstr>
      <vt:lpstr>QuickDraw</vt:lpstr>
      <vt:lpstr>QuickDrawFormulas</vt:lpstr>
      <vt:lpstr>QuickSlash</vt:lpstr>
      <vt:lpstr>QuickSlashFormulas</vt:lpstr>
      <vt:lpstr>R_Defaults</vt:lpstr>
      <vt:lpstr>R_Defensive</vt:lpstr>
      <vt:lpstr>R_Offensive</vt:lpstr>
      <vt:lpstr>RainOfArrows</vt:lpstr>
      <vt:lpstr>RainOfArrowsFormulas</vt:lpstr>
      <vt:lpstr>Ranger</vt:lpstr>
      <vt:lpstr>Rend</vt:lpstr>
      <vt:lpstr>RendFormulas</vt:lpstr>
      <vt:lpstr>Slam</vt:lpstr>
      <vt:lpstr>SlamFormulas</vt:lpstr>
      <vt:lpstr>Smokescreen</vt:lpstr>
      <vt:lpstr>Snipe</vt:lpstr>
      <vt:lpstr>SnipeFormulas</vt:lpstr>
      <vt:lpstr>Stasis</vt:lpstr>
      <vt:lpstr>Sunder</vt:lpstr>
      <vt:lpstr>SunderFormulas</vt:lpstr>
      <vt:lpstr>TauntingBlow</vt:lpstr>
      <vt:lpstr>TauntingBlowFormulas</vt:lpstr>
      <vt:lpstr>Thunderbolt</vt:lpstr>
      <vt:lpstr>ThunderboltFormulas</vt:lpstr>
      <vt:lpstr>Vanish</vt:lpstr>
      <vt:lpstr>Vigilance</vt:lpstr>
      <vt:lpstr>VigilanceFormulas</vt:lpstr>
      <vt:lpstr>W_Defaults</vt:lpstr>
      <vt:lpstr>W_Defensive</vt:lpstr>
      <vt:lpstr>W_Offensive</vt:lpstr>
      <vt:lpstr>Warrior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2022-09-15T14:58:05Z</dcterms:created>
  <dcterms:modified xsi:type="dcterms:W3CDTF">2022-10-07T17:03:48Z</dcterms:modified>
</cp:coreProperties>
</file>