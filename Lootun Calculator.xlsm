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workbookProtection workbookPassword="CCFD" lockStructure="1"/>
  <bookViews>
    <workbookView xWindow="28680" yWindow="-120" windowWidth="29040" windowHeight="16440" activeTab="1"/>
  </bookViews>
  <sheets>
    <sheet name="Contributors" sheetId="3" r:id="rId1"/>
    <sheet name="Character Offensive Stats" sheetId="17" r:id="rId2"/>
    <sheet name="Attributes &amp; Paragons" sheetId="20" r:id="rId3"/>
    <sheet name="Hidden" sheetId="18" state="hidden" r:id="rId4"/>
    <sheet name="Q&amp;As Nobody Asked For" sheetId="19" r:id="rId5"/>
    <sheet name="References" sheetId="1" r:id="rId6"/>
  </sheets>
  <definedNames>
    <definedName name="ArcaneCloak">Hidden!$O$23</definedName>
    <definedName name="ArcaneExplosion">Hidden!$B$23</definedName>
    <definedName name="ArcaneExplosionFormulas">Hidden!$A$112</definedName>
    <definedName name="ArcaneTorrent">Hidden!$J$23:$J$24</definedName>
    <definedName name="ArcaneTorrentFormulas">Hidden!$A$136:$A$137</definedName>
    <definedName name="ArmourBreak">Hidden!$I$11:$I$12</definedName>
    <definedName name="ArmourBreakFormulas">Hidden!$A$60:$A$61</definedName>
    <definedName name="Barrage">Hidden!$F$17:$F$19</definedName>
    <definedName name="BarrageFormulas">Hidden!$A$89:$A$91</definedName>
    <definedName name="BladeFlurry">Hidden!$I$17:$I$18</definedName>
    <definedName name="BladeFlurryFormulas">Hidden!$A$98:$A$99</definedName>
    <definedName name="Blizzard">Hidden!$K$23:$K$24</definedName>
    <definedName name="BlizzardFormulas">Hidden!$A$140:$A$141</definedName>
    <definedName name="ChainLightning">Hidden!$E$23</definedName>
    <definedName name="ChainLightningFormulas">Hidden!$A$121</definedName>
    <definedName name="Cleave">Hidden!$B$11:$B$12</definedName>
    <definedName name="CleaveFormulas">Hidden!$A$38:$A$39</definedName>
    <definedName name="CripplingPoison">Hidden!$N$17</definedName>
    <definedName name="DefensiveStance">Hidden!$O$11</definedName>
    <definedName name="Disable">Hidden!$B$17</definedName>
    <definedName name="DisableFormulas">Hidden!$A$75</definedName>
    <definedName name="DragonsRoar">Hidden!$K$11</definedName>
    <definedName name="DragonsRoarFormulas">Hidden!$A$68</definedName>
    <definedName name="Earthquake">Hidden!$J$11:$J$12</definedName>
    <definedName name="EarthquakeFormulas">Hidden!$A$64:$A$65</definedName>
    <definedName name="ExplosiveShot">Hidden!$C$17:$C$18</definedName>
    <definedName name="ExplosiveShotFormulas">Hidden!$A$78:$A$79</definedName>
    <definedName name="FireArrow">Hidden!$G$11:$G$12</definedName>
    <definedName name="FireArrowFormulas">Hidden!$A$56:$A$57</definedName>
    <definedName name="Fireball">Hidden!$A$23</definedName>
    <definedName name="FireballFormulas">Hidden!$A$109</definedName>
    <definedName name="Firestorm">Hidden!$I$23:$I$24</definedName>
    <definedName name="FirestormFormulas">Hidden!$A$132:$A$133</definedName>
    <definedName name="Frostbolt">Hidden!$C$23</definedName>
    <definedName name="FrostboltFormulas">Hidden!$A$115</definedName>
    <definedName name="FrostNova">Hidden!$N$23</definedName>
    <definedName name="FrostStrike">Hidden!$D$23</definedName>
    <definedName name="FrostStrikeFormulas">Hidden!$A$118</definedName>
    <definedName name="GroundSlam">Hidden!$M$11</definedName>
    <definedName name="ImposingCry">Hidden!$N$11</definedName>
    <definedName name="M_Defaults">Hidden!$G$2:$G$8</definedName>
    <definedName name="M_Defensive">Hidden!$M$2:$M$4</definedName>
    <definedName name="M_Offensive">Hidden!$J$2:$J$4</definedName>
    <definedName name="Mage">Hidden!$D$2:$D$5</definedName>
    <definedName name="Meteor">Hidden!$G$23:$G$25</definedName>
    <definedName name="MeteorFormulas">Hidden!$A$127:$A$129</definedName>
    <definedName name="PinDown">Hidden!$J$17</definedName>
    <definedName name="PinDownFormulas">Hidden!$A$102</definedName>
    <definedName name="PoisonSting">Hidden!$D$17:$D$18</definedName>
    <definedName name="PoisonStingFormulas">Hidden!$A$82:$A$83</definedName>
    <definedName name="QuickDraw">Hidden!$A$17:$A$18</definedName>
    <definedName name="QuickDrawFormulas">Hidden!$A$71:$A$72</definedName>
    <definedName name="QuickSlash">Hidden!$A$11:$A$13</definedName>
    <definedName name="QuickSlashFormulas">Hidden!$A$33:$A$35</definedName>
    <definedName name="R_Defaults">Hidden!$F$2:$F$8</definedName>
    <definedName name="R_Defensive">Hidden!$L$2:$L$4</definedName>
    <definedName name="R_Offensive">Hidden!$I$2:$I$4</definedName>
    <definedName name="RainOfArrows">Hidden!$K$17:$K$18</definedName>
    <definedName name="RainOfArrowsFormulas">Hidden!$A$105:$A$106</definedName>
    <definedName name="Ranger">Hidden!$C$2:$C$5</definedName>
    <definedName name="Rend">Hidden!$C$11:$C$12</definedName>
    <definedName name="RendFormulas">Hidden!$A$42:$A$43</definedName>
    <definedName name="Slam">Hidden!$F$11:$F$12</definedName>
    <definedName name="SlamFormulas">Hidden!$A$52:$A$53</definedName>
    <definedName name="Smokescreen">Hidden!$M$17</definedName>
    <definedName name="Snipe">Hidden!$G$17:$G$18</definedName>
    <definedName name="SnipeFormulas">Hidden!$A$94:$A$95</definedName>
    <definedName name="Stasis">Hidden!$M$23</definedName>
    <definedName name="Sunder">Hidden!$D$11</definedName>
    <definedName name="SunderFormulas">Hidden!$A$46</definedName>
    <definedName name="TauntingBlow">Hidden!$E$11</definedName>
    <definedName name="TauntingBlowFormulas">Hidden!$A$49</definedName>
    <definedName name="Thunderbolt">Hidden!$F$23</definedName>
    <definedName name="ThunderboltFormulas">Hidden!$A$124</definedName>
    <definedName name="Vanish">Hidden!$O$17</definedName>
    <definedName name="Vigilance">Hidden!$E$17</definedName>
    <definedName name="VigilanceFormulas">Hidden!$A$86</definedName>
    <definedName name="W_Defaults">Hidden!$E$2:$E$8</definedName>
    <definedName name="W_Defensive">Hidden!$K$2:$K$4</definedName>
    <definedName name="W_Offensive">Hidden!$H$2:$H$4</definedName>
    <definedName name="Warrior">Hidden!$B$2:$B$5</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20" l="1"/>
  <c r="G2" i="17"/>
  <c r="G11" i="17"/>
  <c r="C5" i="17"/>
  <c r="B6" i="17"/>
  <c r="B5" i="17"/>
  <c r="H14" i="20"/>
  <c r="G5" i="17" l="1"/>
  <c r="G6" i="17"/>
  <c r="C24" i="20"/>
  <c r="D24" i="20" s="1"/>
  <c r="C18" i="20"/>
  <c r="D18" i="20" s="1"/>
  <c r="C19" i="20"/>
  <c r="D19" i="20" s="1"/>
  <c r="C20" i="20"/>
  <c r="D20" i="20" s="1"/>
  <c r="C21" i="20"/>
  <c r="D21" i="20" s="1"/>
  <c r="C22" i="20"/>
  <c r="D22" i="20" s="1"/>
  <c r="C23" i="20"/>
  <c r="D23" i="20" s="1"/>
  <c r="C25" i="20"/>
  <c r="D25" i="20" s="1"/>
  <c r="C26" i="20"/>
  <c r="D26" i="20" s="1"/>
  <c r="C27" i="20"/>
  <c r="D27" i="20" s="1"/>
  <c r="C28" i="20"/>
  <c r="D28" i="20" s="1"/>
  <c r="C29" i="20"/>
  <c r="D29" i="20" s="1"/>
  <c r="C17" i="20"/>
  <c r="D17" i="20" s="1"/>
  <c r="C16" i="20"/>
  <c r="D16" i="20" s="1"/>
  <c r="C4" i="20"/>
  <c r="D4" i="20" s="1"/>
  <c r="C5" i="20"/>
  <c r="D5" i="20" s="1"/>
  <c r="C6" i="20"/>
  <c r="D6" i="20" s="1"/>
  <c r="C7" i="20"/>
  <c r="D7" i="20" s="1"/>
  <c r="C8" i="20"/>
  <c r="D8" i="20" s="1"/>
  <c r="C9" i="20"/>
  <c r="D9" i="20" s="1"/>
  <c r="C10" i="20"/>
  <c r="D10" i="20" s="1"/>
  <c r="C11" i="20"/>
  <c r="D11" i="20" s="1"/>
  <c r="C12" i="20"/>
  <c r="D12" i="20" s="1"/>
  <c r="C13" i="20"/>
  <c r="D13" i="20" s="1"/>
  <c r="C14" i="20"/>
  <c r="D14" i="20" s="1"/>
  <c r="C15" i="20"/>
  <c r="D15" i="20" s="1"/>
  <c r="C3" i="20"/>
  <c r="D3" i="20" s="1"/>
  <c r="E3" i="17" l="1"/>
  <c r="G10" i="17"/>
  <c r="G1" i="17"/>
  <c r="B129" i="18"/>
  <c r="B128" i="18"/>
  <c r="B127" i="18"/>
  <c r="B124" i="18"/>
  <c r="B121" i="18"/>
  <c r="B118" i="18"/>
  <c r="B115" i="18"/>
  <c r="B112" i="18"/>
  <c r="B109" i="18"/>
  <c r="B141" i="18"/>
  <c r="B140" i="18"/>
  <c r="B137" i="18"/>
  <c r="B136" i="18"/>
  <c r="B133" i="18"/>
  <c r="B132" i="18"/>
  <c r="B106" i="18"/>
  <c r="B105" i="18"/>
  <c r="B102" i="18"/>
  <c r="B99" i="18"/>
  <c r="B98" i="18"/>
  <c r="B95" i="18"/>
  <c r="B94" i="18"/>
  <c r="B91" i="18"/>
  <c r="B90" i="18"/>
  <c r="B89" i="18"/>
  <c r="B86" i="18"/>
  <c r="B83" i="18"/>
  <c r="B82" i="18"/>
  <c r="B79" i="18"/>
  <c r="B78" i="18"/>
  <c r="B75" i="18"/>
  <c r="B72" i="18"/>
  <c r="B71" i="18"/>
  <c r="B68" i="18"/>
  <c r="B65" i="18"/>
  <c r="B64" i="18"/>
  <c r="B61" i="18"/>
  <c r="B60" i="18"/>
  <c r="B57" i="18"/>
  <c r="B56" i="18"/>
  <c r="B53" i="18"/>
  <c r="B52" i="18"/>
  <c r="B49" i="18"/>
  <c r="B46" i="18"/>
  <c r="B43" i="18"/>
  <c r="B42" i="18"/>
  <c r="B39" i="18"/>
  <c r="B38" i="18"/>
  <c r="G13" i="17"/>
  <c r="E30" i="18" l="1"/>
  <c r="F30" i="18"/>
  <c r="G30" i="18"/>
  <c r="J30" i="18"/>
  <c r="H30" i="18"/>
  <c r="B30" i="18"/>
  <c r="D30" i="18"/>
  <c r="I30" i="18"/>
  <c r="C30" i="18"/>
  <c r="A30" i="18"/>
  <c r="B35" i="18"/>
  <c r="B34" i="18"/>
  <c r="B33" i="18"/>
  <c r="E2" i="17"/>
  <c r="G4" i="17"/>
  <c r="G12" i="17" l="1"/>
  <c r="R1" i="18" a="1"/>
  <c r="R8" i="18" s="1"/>
  <c r="C36" i="17"/>
  <c r="G8" i="17" l="1"/>
  <c r="R7" i="18"/>
  <c r="R9" i="18"/>
  <c r="R6" i="18"/>
  <c r="R1" i="18"/>
  <c r="R5" i="18"/>
  <c r="R4" i="18"/>
  <c r="R3" i="18"/>
  <c r="R10" i="18"/>
  <c r="R2" i="18"/>
  <c r="J28" i="18"/>
  <c r="C28" i="18"/>
  <c r="D28" i="18"/>
  <c r="E28" i="18"/>
  <c r="F28" i="18"/>
  <c r="G28" i="18"/>
  <c r="H28" i="18"/>
  <c r="I28" i="18"/>
  <c r="B28" i="18"/>
  <c r="A28" i="18"/>
  <c r="G3" i="17" l="1"/>
  <c r="Q1" i="18" a="1"/>
  <c r="Q4" i="18" l="1"/>
  <c r="Q5" i="18"/>
  <c r="Q6" i="18"/>
  <c r="Q7" i="18"/>
  <c r="Q8" i="18"/>
  <c r="Q1" i="18"/>
  <c r="Q9" i="18"/>
  <c r="Q2" i="18"/>
  <c r="Q3" i="18"/>
  <c r="Q10" i="18"/>
  <c r="C23" i="17" l="1"/>
  <c r="C24" i="17"/>
  <c r="C28" i="17"/>
  <c r="C25" i="17"/>
  <c r="C29" i="17"/>
  <c r="C26" i="17"/>
  <c r="C27" i="17"/>
  <c r="C31" i="17"/>
  <c r="C32" i="17"/>
  <c r="C30" i="17"/>
</calcChain>
</file>

<file path=xl/sharedStrings.xml><?xml version="1.0" encoding="utf-8"?>
<sst xmlns="http://schemas.openxmlformats.org/spreadsheetml/2006/main" count="514" uniqueCount="315">
  <si>
    <t>(Weapon Damage + Adaptive Damage) * (Damage %) * (Damage Multi) * (x2 if Double Damage or x3 if Triple Damage) * (Crit Damage if Crit or 2x Crit Damage if double Crit)</t>
  </si>
  <si>
    <t>ArrowSoft</t>
  </si>
  <si>
    <t>(Duh)</t>
  </si>
  <si>
    <t>Adamond</t>
  </si>
  <si>
    <t>(Me)</t>
  </si>
  <si>
    <t>In Game Glossary</t>
  </si>
  <si>
    <t>Barbarian</t>
  </si>
  <si>
    <t>Damage Per Second</t>
  </si>
  <si>
    <t>Average Damage</t>
  </si>
  <si>
    <t>Seconds Per Attack</t>
  </si>
  <si>
    <t>Defence</t>
  </si>
  <si>
    <t>Critical Chance</t>
  </si>
  <si>
    <t>Critical Damage</t>
  </si>
  <si>
    <t>Health Points</t>
  </si>
  <si>
    <t>Health Regen</t>
  </si>
  <si>
    <t>%</t>
  </si>
  <si>
    <t>Adaptive Damage</t>
  </si>
  <si>
    <t>Damage Multiplier</t>
  </si>
  <si>
    <t>Damage</t>
  </si>
  <si>
    <t>Melee Damage</t>
  </si>
  <si>
    <t>Ranged Damage</t>
  </si>
  <si>
    <t>Physical Damage</t>
  </si>
  <si>
    <t>Damage Over Time</t>
  </si>
  <si>
    <t>Fire Damage</t>
  </si>
  <si>
    <t>Lightning Damage</t>
  </si>
  <si>
    <t>Elemental Damage</t>
  </si>
  <si>
    <t>Attack Speed</t>
  </si>
  <si>
    <t>Attack Speed Multiplier</t>
  </si>
  <si>
    <t>Health Multiplier</t>
  </si>
  <si>
    <t>= (Default HP + HP from equipment) * Health Multiplier</t>
  </si>
  <si>
    <t>Lvl 150</t>
  </si>
  <si>
    <t>(Probably at some point)</t>
  </si>
  <si>
    <t>= 100*1.1*1.1</t>
  </si>
  <si>
    <t>multiplicative with each other NOT additive</t>
  </si>
  <si>
    <t>Warrior Passive: More Health Lvl 4 = 10%   X   Barbarian Passive: More Health Lvl 5 = 10%</t>
  </si>
  <si>
    <t>Dual Wield weapon damage and attack time are averaged (not added) then multiplied by 1.2.</t>
  </si>
  <si>
    <t>Whether dual wield is better than 2H is going to depend on the weapons used (their bonus attributes and base damage)</t>
  </si>
  <si>
    <t>though looking at the database it seems that a lot of the 2H Special drops are slightly (&lt;5%) behind their 1H counter parts so maybe some adjustment is in order.</t>
  </si>
  <si>
    <t>Quick Slash</t>
  </si>
  <si>
    <t>Stagger is applied after everything except the Defiance enchant.</t>
  </si>
  <si>
    <t>Target based multipliers (armour, resistance, damage taken, etc) but the order of those doesn't matter as it's all multiplication</t>
  </si>
  <si>
    <t xml:space="preserve">Weapon damage is averaged, crit is averaged too so say you have 10% crit chance and 200% crit damage that will be a 1.1x multiplier (100% crit damage would mean no multiplier). </t>
  </si>
  <si>
    <t xml:space="preserve">Double and Triple damage is a little more tricky since triple damage overwrites double damage but it works like: </t>
  </si>
  <si>
    <t>(Damage) * (1 +Triple Damage Chance) * (1+ (Double Damage Chance * (1 - Triple Damage Chance)))</t>
  </si>
  <si>
    <t>Critical Multiplier</t>
  </si>
  <si>
    <t>}</t>
  </si>
  <si>
    <t>Thus saith god</t>
  </si>
  <si>
    <t>Sec/Atk</t>
  </si>
  <si>
    <t>Increased Damage: Damage, Melee, Ranged, Magic, Physical, Fire, Cold, Lightning, Arcane, Elemental, Damage Over Time</t>
  </si>
  <si>
    <t>Each source is additive with each other</t>
  </si>
  <si>
    <t>Damage Multiplier: Generic, Direct, Area, Boss, On Full</t>
  </si>
  <si>
    <t>Each source is multiplicative with each other</t>
  </si>
  <si>
    <t>16.73K</t>
  </si>
  <si>
    <t>33.46K</t>
  </si>
  <si>
    <t>Boss Damage Multiplier</t>
  </si>
  <si>
    <t>Cold Damage</t>
  </si>
  <si>
    <t>Arcane Damage</t>
  </si>
  <si>
    <t>Double Damage</t>
  </si>
  <si>
    <t>Triple Damage</t>
  </si>
  <si>
    <t>Magic Damage</t>
  </si>
  <si>
    <t>Offensive Attributes:</t>
  </si>
  <si>
    <t>Class:</t>
  </si>
  <si>
    <t>Warrior</t>
  </si>
  <si>
    <t>Ranger</t>
  </si>
  <si>
    <t>Mage</t>
  </si>
  <si>
    <t>Classes:</t>
  </si>
  <si>
    <t>Warrior Ascendancies:</t>
  </si>
  <si>
    <t>Ranger Ascendancies:</t>
  </si>
  <si>
    <t>Mage Ascendancies:</t>
  </si>
  <si>
    <t>Warden</t>
  </si>
  <si>
    <t>Juggarnaut</t>
  </si>
  <si>
    <t>Marksman</t>
  </si>
  <si>
    <t>Assassin</t>
  </si>
  <si>
    <t>Renegade</t>
  </si>
  <si>
    <t>Vizier</t>
  </si>
  <si>
    <t>Archmage</t>
  </si>
  <si>
    <t>Battlemage</t>
  </si>
  <si>
    <t>N/A</t>
  </si>
  <si>
    <t>Default Attack:</t>
  </si>
  <si>
    <t>Offensive  Move:</t>
  </si>
  <si>
    <t>Warrior Defaults:</t>
  </si>
  <si>
    <t>Cleave</t>
  </si>
  <si>
    <t>Rend</t>
  </si>
  <si>
    <t>Sunder</t>
  </si>
  <si>
    <t>Taunting Blow</t>
  </si>
  <si>
    <t>Slam</t>
  </si>
  <si>
    <t>Fire Arrow</t>
  </si>
  <si>
    <t>Ranger Defaults:</t>
  </si>
  <si>
    <t>Mage Defaults:</t>
  </si>
  <si>
    <t>Fireball</t>
  </si>
  <si>
    <t>Arcane Explosion</t>
  </si>
  <si>
    <t>Frostbolt</t>
  </si>
  <si>
    <t>Frost Strike</t>
  </si>
  <si>
    <t>Chain Lightning</t>
  </si>
  <si>
    <t>Thunderbolt</t>
  </si>
  <si>
    <t>Meteor</t>
  </si>
  <si>
    <t>Quick Draw</t>
  </si>
  <si>
    <t>Disable</t>
  </si>
  <si>
    <t>Explosive Shot</t>
  </si>
  <si>
    <t>Poison Sting</t>
  </si>
  <si>
    <t>Vigilance</t>
  </si>
  <si>
    <t>Barrage</t>
  </si>
  <si>
    <t>Snipe</t>
  </si>
  <si>
    <t>Warrior Offensive:</t>
  </si>
  <si>
    <t>Ranger Offensive:</t>
  </si>
  <si>
    <t>Mage Offensive:</t>
  </si>
  <si>
    <t>Warrior Defensive:</t>
  </si>
  <si>
    <t>Ranger Defensive:</t>
  </si>
  <si>
    <t>Mage Defensive:</t>
  </si>
  <si>
    <t>Blade Flurry</t>
  </si>
  <si>
    <t>Pin Down</t>
  </si>
  <si>
    <t>Rain Of Arrows</t>
  </si>
  <si>
    <t>Smokescreen</t>
  </si>
  <si>
    <t>Crippling Poison</t>
  </si>
  <si>
    <t>Vanish</t>
  </si>
  <si>
    <t>Stasis</t>
  </si>
  <si>
    <t>Frost Nova</t>
  </si>
  <si>
    <t>Arcane Cloak</t>
  </si>
  <si>
    <t>Firestorm</t>
  </si>
  <si>
    <t>Arcane Torrent</t>
  </si>
  <si>
    <t>Blizzard</t>
  </si>
  <si>
    <t>Ground Slam</t>
  </si>
  <si>
    <t>Imposing Cry</t>
  </si>
  <si>
    <t>Defensive Stance</t>
  </si>
  <si>
    <t>Armour Break</t>
  </si>
  <si>
    <t>Earthquake</t>
  </si>
  <si>
    <t>Dragons Roar</t>
  </si>
  <si>
    <t>Standard</t>
  </si>
  <si>
    <t>Lightning</t>
  </si>
  <si>
    <t>Cold</t>
  </si>
  <si>
    <t>Ranged</t>
  </si>
  <si>
    <t>With Lightning</t>
  </si>
  <si>
    <t>With Fire</t>
  </si>
  <si>
    <t>With Cold</t>
  </si>
  <si>
    <t>Melee</t>
  </si>
  <si>
    <t>With Maelstrom</t>
  </si>
  <si>
    <t>Arcane</t>
  </si>
  <si>
    <t>Quick Slash Formulas</t>
  </si>
  <si>
    <t>What Increases The Damage Of:</t>
  </si>
  <si>
    <t>Melee Damage, Elemental Damage, Direct Damage</t>
  </si>
  <si>
    <t>Melee Damage, Lightning Damage, Elemental Damage, Direct Damage</t>
  </si>
  <si>
    <t>Melee Damage, Fire Damage, Elemental Damage, Direct Damage</t>
  </si>
  <si>
    <t>Lowest Damage</t>
  </si>
  <si>
    <t>Highest Damage</t>
  </si>
  <si>
    <t>Mastery Lvl.</t>
  </si>
  <si>
    <t>Weapon Stats:</t>
  </si>
  <si>
    <t>This Column</t>
  </si>
  <si>
    <t>Only Change Values In</t>
  </si>
  <si>
    <t>Click me me for more info about the 2 columns</t>
  </si>
  <si>
    <t>Bonus Damage</t>
  </si>
  <si>
    <t>Q:</t>
  </si>
  <si>
    <t>A:</t>
  </si>
  <si>
    <t>Do you plan on adding ______?</t>
  </si>
  <si>
    <t>Did you know that the formula you use for Average Damage doesn't equal the game's Average Damage exactly?</t>
  </si>
  <si>
    <t>WTF is Rubber Duck Debugging?</t>
  </si>
  <si>
    <t>https://en.wikipedia.org/wiki/Rubber_duck_debugging</t>
  </si>
  <si>
    <t>I didn't even really plan to make what I have so far; so, technically no lol. (But if you have an idea, I'll think about it)</t>
  </si>
  <si>
    <t>Why don't you just merge some cells to make things look better?</t>
  </si>
  <si>
    <t>Yes!... I spent a few days Rubber Duck Debugging the main formula, until I gave up and contacted ArrowSoft. We found that the in-game's Average Damage may not be calculating Skill Mastery correctly (for now).</t>
  </si>
  <si>
    <t>Did you know that you spelled ______ wrong?</t>
  </si>
  <si>
    <t>Probably not, I'm dyslexic… very dyslexic… like I wasn't supposed to pass middle school due to my dyslexia. If a word is spelled wrong let me know and I'll update it.</t>
  </si>
  <si>
    <t>Why is ______ arranged the way it is?</t>
  </si>
  <si>
    <t>Tell me :)</t>
  </si>
  <si>
    <t>Cleave Formulas</t>
  </si>
  <si>
    <t>Rend Formulas</t>
  </si>
  <si>
    <t>Sunder Formulas</t>
  </si>
  <si>
    <t>Taunting Blow Formulas</t>
  </si>
  <si>
    <t>Slam Formulas</t>
  </si>
  <si>
    <t>Fire Arrow Formulas</t>
  </si>
  <si>
    <t>Armour Break Formulas</t>
  </si>
  <si>
    <t>Quick Draw Formulas</t>
  </si>
  <si>
    <t>Disable Formulas</t>
  </si>
  <si>
    <t>Explosive Shot Formulas</t>
  </si>
  <si>
    <t>Poison Sting Formulas</t>
  </si>
  <si>
    <t>Vigilance Formulas</t>
  </si>
  <si>
    <t>Barrage Formulas</t>
  </si>
  <si>
    <t>Snipe Formulas</t>
  </si>
  <si>
    <t>My main reasoning is backwards compatibility (habit). A lot of awesome functions are only available in newer versions of Excel and won’t work on older ones.</t>
  </si>
  <si>
    <t>However, the functions I’m using are available since at least 2010 (probably earlier), and this allows for more people to use the spreadsheet.</t>
  </si>
  <si>
    <t>Why didn't you use the function IFNA, XLOOKUP, TEXTBEFORE/AFTER/SPLIT, CONCAT/TEXTJOIN,… Why not at least use the IFS function!?!?!?</t>
  </si>
  <si>
    <t>I know a lot of people and businesses who still use Office 2010 and it’s still available online.</t>
  </si>
  <si>
    <t>Melee Damage, Physical Damage, Area Damage</t>
  </si>
  <si>
    <t>Melee Damage, Damage Over Time, Physical Damage, Direct Damage</t>
  </si>
  <si>
    <t>Ranged Damage, Damage Over Time, Physical Damage, Direct Damage</t>
  </si>
  <si>
    <t>You missed a skill variation.</t>
  </si>
  <si>
    <t>Please tell me. I did try to get them all, but might have missed some… That, or I don't have an easy solution for calculating the damage.</t>
  </si>
  <si>
    <t>Melee Damage, Physical Damage, Direct Damage</t>
  </si>
  <si>
    <t>Melee Damage, Cold Damage, Elemental Damage, Direct Damage</t>
  </si>
  <si>
    <t>Ranged Damage, Fire Damage, Elemental Damage, Direct Damage</t>
  </si>
  <si>
    <t>Ranged Damage, Lightning Damage, Elemental Damage, Direct Damage</t>
  </si>
  <si>
    <t>Physical Damage, Direct Damage</t>
  </si>
  <si>
    <t>Lightning Damage, Elemental Damage, Direct Damage</t>
  </si>
  <si>
    <t>Physical Damage, Area Damage</t>
  </si>
  <si>
    <t>Fire Damage, Elemental Damage, Area Damage</t>
  </si>
  <si>
    <t>Ranged Damage, Physical Damage, Direct Damage</t>
  </si>
  <si>
    <t>Ranged Damage, Cold Damage, Elemental Damage, Direct Damage</t>
  </si>
  <si>
    <t>Ranged Damage, Physical Damage, Area Damage</t>
  </si>
  <si>
    <t>Ranged Damage, Fire Damage, Elemental Damage, Area Damage</t>
  </si>
  <si>
    <t>Ranged Damage, Lightning Damage, Elemental Damage, Area Damage</t>
  </si>
  <si>
    <t>Cold Damage, Elemental Damage, Direct Damage</t>
  </si>
  <si>
    <t>Damage Over Time, Physical Damage, Direct Damage</t>
  </si>
  <si>
    <t>Arcane Damage, Elemental Damage, Area Damage</t>
  </si>
  <si>
    <t>Arcane Damage, Elemental Damage, Direct Damage</t>
  </si>
  <si>
    <t>Cold Damage, Elemental Damage, Area Damage</t>
  </si>
  <si>
    <t>Lightning Damage, Elemental Damage, Area Damage</t>
  </si>
  <si>
    <t>Magic Damage, Fire Damage, Elemental Damage, Direct Damage</t>
  </si>
  <si>
    <t>Magic Damage, Arcane Damage, Elemental Damage, Direct Damage</t>
  </si>
  <si>
    <t>Magic Damage, Cold Damage, Elemental Damage, Direct Damage</t>
  </si>
  <si>
    <t>Magic Damage, Lightning Damage, Elemental Damage, Direct Damage</t>
  </si>
  <si>
    <t>Magic Damage, Fire Damage, Cold Damage, Lightning Damage, Arcane Damage, Elemental Damage, Direct Damage</t>
  </si>
  <si>
    <t>Melee Damage, Cold Damage, Elemental Damage, Area Damage</t>
  </si>
  <si>
    <t>Dragons Roar Formulas</t>
  </si>
  <si>
    <t>Earthquake Formulas</t>
  </si>
  <si>
    <t>Blade Flurry Formulas</t>
  </si>
  <si>
    <t>Pin Down Formulas</t>
  </si>
  <si>
    <t>Rain Of Arrows Formulas</t>
  </si>
  <si>
    <t>Fireball Formulas</t>
  </si>
  <si>
    <t>Arcane Explosion Formulas</t>
  </si>
  <si>
    <t>Frostbolt Formulas</t>
  </si>
  <si>
    <t>Frost Strike Formulas</t>
  </si>
  <si>
    <t>Chain Lightning Formulas</t>
  </si>
  <si>
    <t>Thunderbolt Formulas</t>
  </si>
  <si>
    <t>Meteor Formulas</t>
  </si>
  <si>
    <t>Firestorm Formulas</t>
  </si>
  <si>
    <t>Arcane Torrent Formulas</t>
  </si>
  <si>
    <t>Blizzard Formulas</t>
  </si>
  <si>
    <r>
      <t xml:space="preserve">*Formula for </t>
    </r>
    <r>
      <rPr>
        <b/>
        <u/>
        <sz val="11"/>
        <color theme="1"/>
        <rFont val="Calibri"/>
        <family val="2"/>
        <scheme val="minor"/>
      </rPr>
      <t>AVERAGE</t>
    </r>
    <r>
      <rPr>
        <sz val="11"/>
        <color theme="1"/>
        <rFont val="Calibri"/>
        <family val="2"/>
        <scheme val="minor"/>
      </rPr>
      <t xml:space="preserve"> attack:</t>
    </r>
  </si>
  <si>
    <r>
      <t xml:space="preserve">*Calculated </t>
    </r>
    <r>
      <rPr>
        <b/>
        <u/>
        <sz val="11"/>
        <color theme="1"/>
        <rFont val="Calibri"/>
        <family val="2"/>
        <scheme val="minor"/>
      </rPr>
      <t>AVERAGE</t>
    </r>
    <r>
      <rPr>
        <sz val="11"/>
        <color theme="1"/>
        <rFont val="Calibri"/>
        <family val="2"/>
        <scheme val="minor"/>
      </rPr>
      <t xml:space="preserve"> attack:</t>
    </r>
  </si>
  <si>
    <t>*Does not include Mastery Points</t>
  </si>
  <si>
    <t>Are you going to include Mastery Points into the equations?</t>
  </si>
  <si>
    <t>I really don't want to. The inclusion of them will obviously make a difference, but I started making this to help better visualize how the different Character Stats interacted with each other… But I might add them at some point.</t>
  </si>
  <si>
    <t>Not being used, keeping in case I want to expand</t>
  </si>
  <si>
    <t>Default Barbarian Stats. Not being used, keeping in case I want to expand</t>
  </si>
  <si>
    <t>Average Damage / Seconds Per Attack</t>
  </si>
  <si>
    <t>*Formula for Seconds Per Attack:</t>
  </si>
  <si>
    <t>*Calculated Seconds Per Attack:</t>
  </si>
  <si>
    <t>*Formula for Damage Per Second:</t>
  </si>
  <si>
    <t>*Calculated Damage Per Second:</t>
  </si>
  <si>
    <t>Also, I don't currently have any of the Mastery Points affecting the formulas. It's a challenge I don't feel like tackling, but maybe later.</t>
  </si>
  <si>
    <t>Some (many) formulas work better when cells are not merged. Many functions can't even process merged cells correctly. Trust me I tried. Especially for the drop down lists.</t>
  </si>
  <si>
    <t>______ doesn't make sense to me / I have an idea on how to convey ______ better.</t>
  </si>
  <si>
    <t>My Adaptive Damage part of the equation might be wrong: "Grants a flat damage bonus that scales based on the attack speed of the equipped weapon(s)… based around a weapon attack speed of 2 seconds. A faster attack speed will reduce the damage bonus and a slower attack speed will increase it. The result… will provide an identical damage bonus regardless of the speed of the equipped weapons."     This description seems to conflict with the formula that I got from ArrowSoft, which is "(Weapon Damage + Adaptive Damage) * (Damage %) * (Damage Multi) * (x2 if Double Damage or x3 if Triple Damage) * (Crit Damage if Crit or 2x Crit Damage if double Crit)", which is what I used for my calculations.</t>
  </si>
  <si>
    <t>Weapon(s)</t>
  </si>
  <si>
    <t>One Handed</t>
  </si>
  <si>
    <t>I have a:</t>
  </si>
  <si>
    <t>Weapon #1</t>
  </si>
  <si>
    <t>Weapon #2</t>
  </si>
  <si>
    <t>You know you have unnecessary parentheses right?</t>
  </si>
  <si>
    <t>&lt;&lt;&lt; Set to 100% if not listed in your character sheet</t>
  </si>
  <si>
    <t>I don't think gaining a mastery level causes the skill sheet to update, I'll try to add that in for the next update.</t>
  </si>
  <si>
    <t>Enlightenment through prayer</t>
  </si>
  <si>
    <t>Read in scripture</t>
  </si>
  <si>
    <t>Also, many of the formulas are variable, so some of the parentheses may seem useless until certain conditions are met.</t>
  </si>
  <si>
    <t>Yup, that's because I've learned to never trust man's nor machine's ability to remember or use PEMDAS. Plus 'extra' parentheses can't hurt math formulas when placed correctly.</t>
  </si>
  <si>
    <t>Area Damage Multiplier</t>
  </si>
  <si>
    <t>Direct Damage Multiplier</t>
  </si>
  <si>
    <t>Defiance</t>
  </si>
  <si>
    <t>Wearer cannot take more than 35% Max HP in a single hit</t>
  </si>
  <si>
    <t>Devotion</t>
  </si>
  <si>
    <t>Health Regeneration now applies to Barrier instead</t>
  </si>
  <si>
    <t>Purpose</t>
  </si>
  <si>
    <t>Grants -50% Max HP and +200% Barrier. Barrier is now uncapped by HP</t>
  </si>
  <si>
    <t>Mend</t>
  </si>
  <si>
    <t>Grants +20% Healing Effectiveness</t>
  </si>
  <si>
    <t>Chest</t>
  </si>
  <si>
    <t>Trinket</t>
  </si>
  <si>
    <t>I did my best to show how each variable is being used within the formulas, while removing unnecessary 0s, as seeing something like: '(100 + 0)' seems worse than (100), in my opinion.</t>
  </si>
  <si>
    <t>Attribute Level</t>
  </si>
  <si>
    <t>Attribute Name</t>
  </si>
  <si>
    <t>Attribute Affect</t>
  </si>
  <si>
    <t>Health Regeneration</t>
  </si>
  <si>
    <t>Barrier</t>
  </si>
  <si>
    <t>Lightning Resistance</t>
  </si>
  <si>
    <t>Ranged Resistance</t>
  </si>
  <si>
    <t>Physical Resistance</t>
  </si>
  <si>
    <t>Cold Resistance</t>
  </si>
  <si>
    <t>Melee Resistance</t>
  </si>
  <si>
    <t>Arcane Resistance</t>
  </si>
  <si>
    <t>Evasion Rating</t>
  </si>
  <si>
    <t>Magic Resistance</t>
  </si>
  <si>
    <t>Fire Resistance</t>
  </si>
  <si>
    <t>Elemental Resistance</t>
  </si>
  <si>
    <t>Critical Strike chance over 100% now provides a chance to Double Critical</t>
  </si>
  <si>
    <t>It uses your critical chance over 100%. So for example if you had 115% Critical Chance you would have a 15% chance to deal a Double Crit (x2 Critical Damage).</t>
  </si>
  <si>
    <t>* Does not include Enchantments</t>
  </si>
  <si>
    <t>Weapon Damage %</t>
  </si>
  <si>
    <t>Attack Time %</t>
  </si>
  <si>
    <t>2H Weapon</t>
  </si>
  <si>
    <t>TEST</t>
  </si>
  <si>
    <t>From Paragon Level</t>
  </si>
  <si>
    <t>To Paragon Level</t>
  </si>
  <si>
    <t>Orbs Needed</t>
  </si>
  <si>
    <t>How Many Orbs Do I Need?</t>
  </si>
  <si>
    <t>How Many Orbs will I Get?</t>
  </si>
  <si>
    <t>Paragon Level</t>
  </si>
  <si>
    <t>You Need</t>
  </si>
  <si>
    <t>You'll Get</t>
  </si>
  <si>
    <t>while a 10/10 Fire              Damage will be +968%</t>
  </si>
  <si>
    <t xml:space="preserve">e.g.,    a 10/10 Elemental Damage will be +484%, </t>
  </si>
  <si>
    <t>(on the same piece of equipment)</t>
  </si>
  <si>
    <t>Physical Resistance being the exception</t>
  </si>
  <si>
    <t>While leveling equipment stats, specific stats increase more than generic stats.</t>
  </si>
  <si>
    <t>#1 Transmute Attributes - Get the attributes you want first</t>
  </si>
  <si>
    <t>#2 Nemesis Infusion - Roll the dice and see if you like the outcome</t>
  </si>
  <si>
    <t>#4 Upgrade - Add Sockets, Attribute Levels, &amp; Paragon Levels</t>
  </si>
  <si>
    <t>Order Of Operations At The Blacksmith:</t>
  </si>
  <si>
    <t>At Equipment Level 150</t>
  </si>
  <si>
    <t xml:space="preserve">Yes. </t>
  </si>
  <si>
    <t>Continue to #4</t>
  </si>
  <si>
    <t>No.</t>
  </si>
  <si>
    <t>Stop and save your materials</t>
  </si>
  <si>
    <t>#3 Continue or Stop - Do you like the Nemesis Infusion outcome?</t>
  </si>
  <si>
    <t>If you have an idea on how to make something look better, feel free to let me know</t>
  </si>
  <si>
    <t>Ah, I see you’ve peered into the void. Welcome back. I also understand that you know Excel better than the average person. Good for you (seriously).</t>
  </si>
  <si>
    <t>How are you?</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</si>
</sst>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00"/>
    <numFmt numFmtId="166" formatCode="0.00000%"/>
  </numFmts>
  <fonts count="11" x14ac:knownFonts="1">
    <font>
      <sz val="11"/>
      <color theme="1"/>
      <name val="Calibri"/>
      <family val="2"/>
      <scheme val="minor"/>
    </font>
    <font>
      <sz val="11"/>
      <color theme="1"/>
      <name val="Calibri"/>
      <family val="2"/>
      <scheme val="minor"/>
    </font>
    <font>
      <b/>
      <sz val="150"/>
      <color theme="1"/>
      <name val="Calibri"/>
      <family val="2"/>
      <scheme val="minor"/>
    </font>
    <font>
      <b/>
      <u/>
      <sz val="11"/>
      <color theme="1"/>
      <name val="Calibri"/>
      <family val="2"/>
      <scheme val="minor"/>
    </font>
    <font>
      <b/>
      <sz val="11"/>
      <color theme="1"/>
      <name val="Calibri"/>
      <family val="2"/>
      <scheme val="minor"/>
    </font>
    <font>
      <sz val="36"/>
      <color theme="1"/>
      <name val="Calibri"/>
      <family val="2"/>
      <scheme val="minor"/>
    </font>
    <font>
      <sz val="14"/>
      <color theme="1"/>
      <name val="Calibri"/>
      <family val="2"/>
      <scheme val="minor"/>
    </font>
    <font>
      <u/>
      <sz val="11"/>
      <color theme="10"/>
      <name val="Calibri"/>
      <family val="2"/>
      <scheme val="minor"/>
    </font>
    <font>
      <sz val="11"/>
      <color theme="10"/>
      <name val="Calibri"/>
      <family val="2"/>
      <scheme val="minor"/>
    </font>
    <font>
      <sz val="11"/>
      <color rgb="FF00B0F0"/>
      <name val="Calibri"/>
      <family val="2"/>
      <scheme val="minor"/>
    </font>
    <font>
      <sz val="12"/>
      <color theme="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1"/>
        <bgColor indexed="64"/>
      </patternFill>
    </fill>
    <fill>
      <patternFill patternType="solid">
        <fgColor theme="2"/>
        <bgColor indexed="64"/>
      </patternFill>
    </fill>
    <fill>
      <patternFill patternType="solid">
        <fgColor rgb="FF00B0F0"/>
        <bgColor indexed="64"/>
      </patternFill>
    </fill>
    <fill>
      <patternFill patternType="solid">
        <fgColor rgb="FF92D050"/>
        <bgColor indexed="64"/>
      </patternFill>
    </fill>
    <fill>
      <gradientFill>
        <stop position="0">
          <color rgb="FF92D050"/>
        </stop>
        <stop position="1">
          <color rgb="FF00B0F0"/>
        </stop>
      </gradientFill>
    </fill>
    <fill>
      <gradientFill>
        <stop position="0">
          <color rgb="FF00B0F0"/>
        </stop>
        <stop position="1">
          <color rgb="FF92D050"/>
        </stop>
      </gradientFill>
    </fill>
  </fills>
  <borders count="41">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diagonal/>
    </border>
    <border>
      <left style="mediumDashed">
        <color indexed="64"/>
      </left>
      <right style="mediumDashed">
        <color indexed="64"/>
      </right>
      <top/>
      <bottom style="mediumDashed">
        <color indexed="64"/>
      </bottom>
      <diagonal/>
    </border>
    <border>
      <left style="mediumDashed">
        <color indexed="64"/>
      </left>
      <right style="mediumDashed">
        <color indexed="64"/>
      </right>
      <top/>
      <bottom style="thin">
        <color indexed="64"/>
      </bottom>
      <diagonal/>
    </border>
    <border>
      <left style="mediumDashed">
        <color indexed="64"/>
      </left>
      <right style="mediumDashed">
        <color indexed="64"/>
      </right>
      <top style="thin">
        <color indexed="64"/>
      </top>
      <bottom style="thin">
        <color indexed="64"/>
      </bottom>
      <diagonal/>
    </border>
    <border>
      <left style="medium">
        <color indexed="64"/>
      </left>
      <right/>
      <top style="medium">
        <color indexed="64"/>
      </top>
      <bottom style="thin">
        <color indexed="64"/>
      </bottom>
      <diagonal/>
    </border>
    <border>
      <left style="mediumDashed">
        <color indexed="64"/>
      </left>
      <right style="mediumDashed">
        <color indexed="64"/>
      </right>
      <top style="medium">
        <color indexed="64"/>
      </top>
      <bottom style="thin">
        <color indexed="64"/>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medium">
        <color indexed="64"/>
      </left>
      <right/>
      <top/>
      <bottom style="thin">
        <color indexed="64"/>
      </bottom>
      <diagonal/>
    </border>
    <border>
      <left style="mediumDashed">
        <color indexed="64"/>
      </left>
      <right style="mediumDashed">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3">
    <xf numFmtId="0" fontId="0" fillId="0" borderId="0"/>
    <xf numFmtId="9" fontId="1" fillId="0" borderId="0" applyFont="0" applyFill="0" applyBorder="0" applyAlignment="0" applyProtection="0"/>
    <xf numFmtId="0" fontId="7" fillId="0" borderId="0" applyNumberFormat="0" applyFill="0" applyBorder="0" applyAlignment="0" applyProtection="0"/>
  </cellStyleXfs>
  <cellXfs count="116">
    <xf numFmtId="0" fontId="0" fillId="0" borderId="0" xfId="0"/>
    <xf numFmtId="9" fontId="0" fillId="0" borderId="0" xfId="0" applyNumberFormat="1"/>
    <xf numFmtId="0" fontId="0" fillId="0" borderId="0" xfId="0" quotePrefix="1"/>
    <xf numFmtId="0" fontId="0" fillId="0" borderId="0" xfId="0" applyAlignment="1">
      <alignment horizontal="right"/>
    </xf>
    <xf numFmtId="0" fontId="0" fillId="0" borderId="0" xfId="0" applyAlignment="1">
      <alignment horizontal="left"/>
    </xf>
    <xf numFmtId="0" fontId="5" fillId="0" borderId="0" xfId="0" applyFont="1" applyAlignment="1">
      <alignment vertical="center"/>
    </xf>
    <xf numFmtId="0" fontId="6" fillId="0" borderId="0" xfId="0" applyFont="1" applyAlignment="1">
      <alignment horizontal="right" vertical="center"/>
    </xf>
    <xf numFmtId="0" fontId="0" fillId="0" borderId="0" xfId="0" applyAlignment="1">
      <alignment vertical="center"/>
    </xf>
    <xf numFmtId="0" fontId="6" fillId="0" borderId="0" xfId="0" applyFont="1" applyAlignment="1">
      <alignment vertical="center"/>
    </xf>
    <xf numFmtId="0" fontId="0" fillId="0" borderId="4" xfId="0" applyBorder="1"/>
    <xf numFmtId="0" fontId="0" fillId="0" borderId="5" xfId="0" applyBorder="1"/>
    <xf numFmtId="0" fontId="0" fillId="0" borderId="6" xfId="0" applyBorder="1"/>
    <xf numFmtId="0" fontId="7" fillId="0" borderId="0" xfId="2"/>
    <xf numFmtId="0" fontId="0" fillId="0" borderId="8" xfId="0" applyBorder="1"/>
    <xf numFmtId="0" fontId="0" fillId="0" borderId="9" xfId="0" applyBorder="1"/>
    <xf numFmtId="0" fontId="0" fillId="0" borderId="10" xfId="0" applyBorder="1"/>
    <xf numFmtId="0" fontId="0" fillId="0" borderId="11" xfId="0" quotePrefix="1" applyBorder="1"/>
    <xf numFmtId="0" fontId="0" fillId="0" borderId="12" xfId="0" quotePrefix="1" applyBorder="1"/>
    <xf numFmtId="0" fontId="0" fillId="0" borderId="13" xfId="0" quotePrefix="1" applyBorder="1"/>
    <xf numFmtId="0" fontId="0" fillId="0" borderId="2" xfId="0" applyBorder="1"/>
    <xf numFmtId="0" fontId="0" fillId="0" borderId="3" xfId="0" applyBorder="1"/>
    <xf numFmtId="0" fontId="8" fillId="0" borderId="0" xfId="2" applyFont="1"/>
    <xf numFmtId="0" fontId="4" fillId="0" borderId="14" xfId="0" applyFont="1" applyBorder="1" applyAlignment="1">
      <alignment horizontal="center"/>
    </xf>
    <xf numFmtId="0" fontId="4" fillId="0" borderId="15" xfId="0" applyFont="1" applyBorder="1" applyAlignment="1">
      <alignment horizontal="center"/>
    </xf>
    <xf numFmtId="0" fontId="9" fillId="0" borderId="0" xfId="0" applyFont="1"/>
    <xf numFmtId="9" fontId="6" fillId="0" borderId="0" xfId="1" applyFont="1" applyFill="1" applyBorder="1" applyAlignment="1">
      <alignment horizontal="center" vertical="center"/>
    </xf>
    <xf numFmtId="0" fontId="0" fillId="0" borderId="1" xfId="0" applyBorder="1"/>
    <xf numFmtId="0" fontId="0" fillId="4" borderId="0" xfId="0" applyFill="1"/>
    <xf numFmtId="0" fontId="0" fillId="5" borderId="0" xfId="0" applyFill="1"/>
    <xf numFmtId="0" fontId="0" fillId="5" borderId="0" xfId="0" quotePrefix="1" applyFill="1"/>
    <xf numFmtId="0" fontId="0" fillId="5" borderId="0" xfId="0" applyFill="1" applyAlignment="1">
      <alignment horizontal="right"/>
    </xf>
    <xf numFmtId="9" fontId="0" fillId="5" borderId="0" xfId="0" applyNumberFormat="1" applyFill="1" applyAlignment="1">
      <alignment horizontal="right"/>
    </xf>
    <xf numFmtId="0" fontId="6" fillId="0" borderId="11" xfId="0" applyFont="1" applyBorder="1" applyAlignment="1">
      <alignment horizontal="right" vertical="center"/>
    </xf>
    <xf numFmtId="0" fontId="6" fillId="0" borderId="13" xfId="0" applyFont="1" applyBorder="1" applyAlignment="1">
      <alignment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165" fontId="0" fillId="0" borderId="0" xfId="0" quotePrefix="1" applyNumberFormat="1" applyAlignment="1">
      <alignment horizontal="left"/>
    </xf>
    <xf numFmtId="0" fontId="6" fillId="0" borderId="8" xfId="0" applyFont="1" applyBorder="1" applyAlignment="1">
      <alignment vertical="center"/>
    </xf>
    <xf numFmtId="166" fontId="0" fillId="0" borderId="0" xfId="0" applyNumberFormat="1"/>
    <xf numFmtId="164" fontId="0" fillId="0" borderId="0" xfId="0" applyNumberFormat="1"/>
    <xf numFmtId="0" fontId="0" fillId="2" borderId="0" xfId="0" applyFill="1"/>
    <xf numFmtId="0" fontId="0" fillId="0" borderId="7" xfId="0" applyBorder="1"/>
    <xf numFmtId="0" fontId="0" fillId="0" borderId="26" xfId="0" applyBorder="1"/>
    <xf numFmtId="0" fontId="0" fillId="0" borderId="11" xfId="0" applyBorder="1"/>
    <xf numFmtId="0" fontId="0" fillId="0" borderId="12" xfId="0" applyBorder="1"/>
    <xf numFmtId="0" fontId="0" fillId="0" borderId="13" xfId="0" applyBorder="1"/>
    <xf numFmtId="0" fontId="0" fillId="0" borderId="27" xfId="0" applyBorder="1"/>
    <xf numFmtId="0" fontId="0" fillId="3" borderId="27" xfId="0" applyFill="1" applyBorder="1"/>
    <xf numFmtId="164" fontId="0" fillId="3" borderId="27" xfId="0" applyNumberFormat="1" applyFill="1" applyBorder="1"/>
    <xf numFmtId="0" fontId="0" fillId="2" borderId="27" xfId="0" applyFill="1" applyBorder="1"/>
    <xf numFmtId="164" fontId="0" fillId="2" borderId="27" xfId="0" applyNumberFormat="1" applyFill="1" applyBorder="1"/>
    <xf numFmtId="164" fontId="0" fillId="0" borderId="27" xfId="0" applyNumberFormat="1" applyBorder="1"/>
    <xf numFmtId="0" fontId="0" fillId="0" borderId="31" xfId="0" applyBorder="1"/>
    <xf numFmtId="0" fontId="0" fillId="0" borderId="32" xfId="0" applyBorder="1"/>
    <xf numFmtId="164" fontId="0" fillId="3" borderId="32" xfId="0" applyNumberFormat="1" applyFill="1" applyBorder="1"/>
    <xf numFmtId="164" fontId="0" fillId="2" borderId="32" xfId="0" applyNumberFormat="1" applyFill="1" applyBorder="1"/>
    <xf numFmtId="164" fontId="0" fillId="0" borderId="32" xfId="0" applyNumberFormat="1" applyBorder="1"/>
    <xf numFmtId="0" fontId="0" fillId="3" borderId="32" xfId="0" applyFill="1" applyBorder="1"/>
    <xf numFmtId="0" fontId="0" fillId="2" borderId="32" xfId="0" applyFill="1" applyBorder="1"/>
    <xf numFmtId="0" fontId="0" fillId="0" borderId="34" xfId="0" applyBorder="1"/>
    <xf numFmtId="0" fontId="0" fillId="0" borderId="35" xfId="0" applyBorder="1"/>
    <xf numFmtId="0" fontId="4" fillId="0" borderId="8" xfId="0" applyFont="1" applyBorder="1"/>
    <xf numFmtId="0" fontId="0" fillId="0" borderId="36" xfId="0" applyBorder="1"/>
    <xf numFmtId="0" fontId="0" fillId="0" borderId="37" xfId="0" applyBorder="1"/>
    <xf numFmtId="0" fontId="0" fillId="0" borderId="38" xfId="0" applyBorder="1"/>
    <xf numFmtId="0" fontId="0" fillId="0" borderId="39" xfId="0" applyBorder="1"/>
    <xf numFmtId="0" fontId="0" fillId="0" borderId="40" xfId="0" applyBorder="1"/>
    <xf numFmtId="0" fontId="4" fillId="0" borderId="0" xfId="0" applyFont="1" applyAlignment="1">
      <alignment horizontal="left"/>
    </xf>
    <xf numFmtId="0" fontId="0" fillId="0" borderId="0" xfId="0" quotePrefix="1" applyAlignment="1">
      <alignment vertical="center" wrapText="1"/>
    </xf>
    <xf numFmtId="9" fontId="6" fillId="7" borderId="1" xfId="1" applyFont="1" applyFill="1" applyBorder="1" applyAlignment="1">
      <alignment horizontal="center" vertical="center"/>
    </xf>
    <xf numFmtId="9" fontId="6" fillId="7" borderId="0" xfId="1" applyFont="1" applyFill="1" applyBorder="1" applyAlignment="1">
      <alignment horizontal="center" vertical="center"/>
    </xf>
    <xf numFmtId="9" fontId="6" fillId="6" borderId="0" xfId="1" applyFont="1" applyFill="1" applyBorder="1" applyAlignment="1">
      <alignment horizontal="center" vertical="center"/>
    </xf>
    <xf numFmtId="0" fontId="0" fillId="7" borderId="0" xfId="0" applyFill="1" applyAlignment="1">
      <alignment horizontal="right"/>
    </xf>
    <xf numFmtId="0" fontId="0" fillId="7" borderId="0" xfId="0" applyFill="1"/>
    <xf numFmtId="0" fontId="0" fillId="6" borderId="0" xfId="0" applyFill="1"/>
    <xf numFmtId="0" fontId="0" fillId="6" borderId="0" xfId="0" applyFill="1" applyAlignment="1">
      <alignment horizontal="right"/>
    </xf>
    <xf numFmtId="0" fontId="0" fillId="7" borderId="2" xfId="0" applyFill="1" applyBorder="1"/>
    <xf numFmtId="0" fontId="0" fillId="8" borderId="1" xfId="0" applyFill="1" applyBorder="1"/>
    <xf numFmtId="0" fontId="0" fillId="8" borderId="2" xfId="0" applyFill="1" applyBorder="1"/>
    <xf numFmtId="0" fontId="0" fillId="8" borderId="19" xfId="0" applyFill="1" applyBorder="1"/>
    <xf numFmtId="0" fontId="0" fillId="8" borderId="11" xfId="0" applyFill="1" applyBorder="1"/>
    <xf numFmtId="0" fontId="0" fillId="8" borderId="24" xfId="0" applyFill="1" applyBorder="1"/>
    <xf numFmtId="0" fontId="0" fillId="8" borderId="7" xfId="0" applyFill="1" applyBorder="1"/>
    <xf numFmtId="164" fontId="0" fillId="8" borderId="13" xfId="1" applyNumberFormat="1" applyFont="1" applyFill="1" applyBorder="1" applyAlignment="1">
      <alignment horizontal="center"/>
    </xf>
    <xf numFmtId="0" fontId="0" fillId="8" borderId="10" xfId="0" applyFill="1" applyBorder="1" applyAlignment="1">
      <alignment horizontal="center"/>
    </xf>
    <xf numFmtId="0" fontId="0" fillId="0" borderId="0" xfId="0" applyAlignment="1">
      <alignment horizontal="center"/>
    </xf>
    <xf numFmtId="0" fontId="5" fillId="0" borderId="0" xfId="0" applyFont="1" applyAlignment="1">
      <alignment horizontal="center" vertical="center"/>
    </xf>
    <xf numFmtId="0" fontId="10" fillId="0" borderId="0" xfId="0" quotePrefix="1" applyFont="1" applyAlignment="1">
      <alignment horizontal="center" vertical="center" wrapText="1"/>
    </xf>
    <xf numFmtId="0" fontId="4" fillId="0" borderId="28"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2" fillId="0" borderId="21" xfId="0" applyFont="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9" borderId="17" xfId="0" applyFill="1" applyBorder="1" applyProtection="1">
      <protection locked="0"/>
    </xf>
    <xf numFmtId="9" fontId="0" fillId="9" borderId="18" xfId="0" applyNumberFormat="1" applyFill="1" applyBorder="1" applyProtection="1">
      <protection locked="0"/>
    </xf>
    <xf numFmtId="9" fontId="0" fillId="9" borderId="18" xfId="1" applyFont="1" applyFill="1" applyBorder="1" applyProtection="1">
      <protection locked="0"/>
    </xf>
    <xf numFmtId="9" fontId="0" fillId="0" borderId="18" xfId="1" applyFont="1" applyBorder="1" applyProtection="1">
      <protection locked="0"/>
    </xf>
    <xf numFmtId="9" fontId="0" fillId="7" borderId="18" xfId="1" applyFont="1" applyFill="1" applyBorder="1" applyProtection="1">
      <protection locked="0"/>
    </xf>
    <xf numFmtId="9" fontId="0" fillId="7" borderId="15" xfId="0" applyNumberFormat="1" applyFill="1" applyBorder="1" applyProtection="1">
      <protection locked="0"/>
    </xf>
    <xf numFmtId="9" fontId="0" fillId="9" borderId="20" xfId="1" applyFont="1" applyFill="1" applyBorder="1" applyProtection="1">
      <protection locked="0"/>
    </xf>
    <xf numFmtId="9" fontId="0" fillId="9" borderId="25" xfId="1" applyFont="1" applyFill="1" applyBorder="1" applyProtection="1">
      <protection locked="0"/>
    </xf>
    <xf numFmtId="9" fontId="0" fillId="9" borderId="17" xfId="0" applyNumberFormat="1" applyFill="1" applyBorder="1" applyProtection="1">
      <protection locked="0"/>
    </xf>
    <xf numFmtId="9" fontId="0" fillId="9" borderId="16" xfId="0" applyNumberFormat="1" applyFill="1" applyBorder="1" applyProtection="1">
      <protection locked="0"/>
    </xf>
    <xf numFmtId="0" fontId="6" fillId="0" borderId="0" xfId="0" applyFont="1" applyAlignment="1" applyProtection="1">
      <alignment horizontal="center" vertical="center"/>
      <protection locked="0"/>
    </xf>
    <xf numFmtId="0" fontId="6" fillId="0" borderId="12" xfId="0" applyFont="1" applyBorder="1" applyAlignment="1" applyProtection="1">
      <alignment vertical="center"/>
      <protection locked="0"/>
    </xf>
    <xf numFmtId="0" fontId="6" fillId="2" borderId="1" xfId="0" applyFont="1" applyFill="1" applyBorder="1" applyAlignment="1" applyProtection="1">
      <alignment vertical="center"/>
      <protection locked="0"/>
    </xf>
    <xf numFmtId="0" fontId="6" fillId="7" borderId="2" xfId="0" applyFont="1" applyFill="1" applyBorder="1" applyAlignment="1" applyProtection="1">
      <alignment vertical="center"/>
      <protection locked="0"/>
    </xf>
    <xf numFmtId="0" fontId="6" fillId="6" borderId="3" xfId="0" applyFont="1" applyFill="1" applyBorder="1" applyAlignment="1" applyProtection="1">
      <alignment vertical="center"/>
      <protection locked="0"/>
    </xf>
    <xf numFmtId="0" fontId="6" fillId="7" borderId="1" xfId="0" applyFont="1" applyFill="1" applyBorder="1" applyAlignment="1" applyProtection="1">
      <alignment vertical="center"/>
      <protection locked="0"/>
    </xf>
    <xf numFmtId="0" fontId="6" fillId="7" borderId="1" xfId="0" applyFont="1" applyFill="1" applyBorder="1" applyAlignment="1" applyProtection="1">
      <alignment horizontal="center" vertical="center"/>
      <protection locked="0"/>
    </xf>
    <xf numFmtId="0" fontId="6" fillId="6" borderId="3" xfId="0" applyFont="1" applyFill="1" applyBorder="1" applyAlignment="1" applyProtection="1">
      <alignment horizontal="center" vertical="center"/>
      <protection locked="0"/>
    </xf>
    <xf numFmtId="0" fontId="0" fillId="0" borderId="31" xfId="0" applyBorder="1" applyProtection="1">
      <protection locked="0"/>
    </xf>
    <xf numFmtId="0" fontId="0" fillId="0" borderId="33" xfId="0" applyBorder="1" applyProtection="1">
      <protection locked="0"/>
    </xf>
    <xf numFmtId="0" fontId="0" fillId="0" borderId="0" xfId="0" applyProtection="1">
      <protection locked="0"/>
    </xf>
    <xf numFmtId="0" fontId="0" fillId="0" borderId="26" xfId="0" applyBorder="1" applyProtection="1">
      <protection locked="0"/>
    </xf>
  </cellXfs>
  <cellStyles count="3">
    <cellStyle name="Hyperlink" xfId="2" builtinId="8"/>
    <cellStyle name="Normal" xfId="0" builtinId="0"/>
    <cellStyle name="Percent" xfId="1" builtinId="5"/>
  </cellStyles>
  <dxfs count="5">
    <dxf>
      <fill>
        <patternFill>
          <bgColor rgb="FFFF5050"/>
        </patternFill>
      </fill>
    </dxf>
    <dxf>
      <fill>
        <patternFill>
          <bgColor rgb="FF00B0F0"/>
        </patternFill>
      </fill>
    </dxf>
    <dxf>
      <fill>
        <patternFill>
          <bgColor rgb="FF92D050"/>
        </patternFill>
      </fill>
    </dxf>
    <dxf>
      <fill>
        <gradientFill>
          <stop position="0">
            <color rgb="FF92D050"/>
          </stop>
          <stop position="1">
            <color rgb="FF00B0F0"/>
          </stop>
        </gradientFill>
      </fill>
    </dxf>
    <dxf>
      <fill>
        <patternFill patternType="darkUp">
          <bgColor theme="1" tint="0.499984740745262"/>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51</xdr:row>
      <xdr:rowOff>0</xdr:rowOff>
    </xdr:from>
    <xdr:to>
      <xdr:col>6</xdr:col>
      <xdr:colOff>430696</xdr:colOff>
      <xdr:row>58</xdr:row>
      <xdr:rowOff>0</xdr:rowOff>
    </xdr:to>
    <xdr:pic>
      <xdr:nvPicPr>
        <xdr:cNvPr id="3" name="Picture 2">
          <a:extLst>
            <a:ext uri="{FF2B5EF4-FFF2-40B4-BE49-F238E27FC236}">
              <a16:creationId xmlns:a16="http://schemas.microsoft.com/office/drawing/2014/main" xmlns="" id="{2FFC1636-3B0F-D531-F42A-AE4A76DD01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9715500"/>
          <a:ext cx="3478696" cy="13335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youtu.be/V4uV3icrmw0"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en.wikipedia.org/wiki/Rubber_duck_debugging"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3"/>
  <sheetViews>
    <sheetView workbookViewId="0">
      <selection activeCell="AB1" sqref="AB1"/>
    </sheetView>
  </sheetViews>
  <sheetFormatPr defaultRowHeight="15" x14ac:dyDescent="0.25"/>
  <cols>
    <col min="1" max="1" width="16.28515625" bestFit="1" customWidth="1"/>
  </cols>
  <sheetData>
    <row r="1" spans="1:2" x14ac:dyDescent="0.25">
      <c r="A1" t="s">
        <v>1</v>
      </c>
      <c r="B1" t="s">
        <v>2</v>
      </c>
    </row>
    <row r="2" spans="1:2" x14ac:dyDescent="0.25">
      <c r="A2" t="s">
        <v>3</v>
      </c>
      <c r="B2" t="s">
        <v>4</v>
      </c>
    </row>
    <row r="3" spans="1:2" x14ac:dyDescent="0.25">
      <c r="A3" t="s">
        <v>5</v>
      </c>
      <c r="B3" t="s">
        <v>31</v>
      </c>
    </row>
  </sheetData>
  <sheetProtection password="CCFD"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55"/>
  <sheetViews>
    <sheetView tabSelected="1" workbookViewId="0">
      <selection activeCell="G19" sqref="G19"/>
    </sheetView>
  </sheetViews>
  <sheetFormatPr defaultRowHeight="15" x14ac:dyDescent="0.25"/>
  <cols>
    <col min="1" max="1" width="23.5703125" bestFit="1" customWidth="1"/>
    <col min="2" max="2" width="20.28515625" bestFit="1" customWidth="1"/>
    <col min="3" max="3" width="19.42578125" bestFit="1" customWidth="1"/>
    <col min="4" max="4" width="14.85546875" bestFit="1" customWidth="1"/>
    <col min="5" max="5" width="17" customWidth="1"/>
    <col min="6" max="6" width="31.42578125" bestFit="1" customWidth="1"/>
    <col min="7" max="7" width="140.7109375" customWidth="1"/>
    <col min="9" max="9" width="7.140625" bestFit="1" customWidth="1"/>
  </cols>
  <sheetData>
    <row r="1" spans="1:9" ht="15" customHeight="1" x14ac:dyDescent="0.25">
      <c r="A1" s="6" t="s">
        <v>61</v>
      </c>
      <c r="B1" s="106" t="s">
        <v>62</v>
      </c>
      <c r="C1" s="5"/>
      <c r="D1" s="8" t="s">
        <v>144</v>
      </c>
      <c r="E1" s="8" t="s">
        <v>149</v>
      </c>
      <c r="F1" s="3" t="s">
        <v>138</v>
      </c>
      <c r="G1" s="73" t="str">
        <f>CONCATENATE(B2," ",C2)</f>
        <v>Quick Slash With Fire</v>
      </c>
    </row>
    <row r="2" spans="1:9" ht="15" customHeight="1" x14ac:dyDescent="0.25">
      <c r="A2" s="6" t="s">
        <v>78</v>
      </c>
      <c r="B2" s="107" t="s">
        <v>38</v>
      </c>
      <c r="C2" s="109" t="s">
        <v>132</v>
      </c>
      <c r="D2" s="110">
        <v>30</v>
      </c>
      <c r="E2" s="25">
        <f>1+(D2*2)%</f>
        <v>1.6</v>
      </c>
      <c r="F2" s="3"/>
      <c r="G2" s="4" t="str">
        <f ca="1">IFERROR(INDEX(INDIRECT(CONCATENATE(SUBSTITUTE(B2," ",""),"Formulas")),MATCH(C2,INDIRECT(SUBSTITUTE(B2," ","")),0)),"Be sure to fill out the Default Attack completely")</f>
        <v>Melee Damage, Fire Damage, Elemental Damage, Direct Damage</v>
      </c>
    </row>
    <row r="3" spans="1:9" ht="15" customHeight="1" x14ac:dyDescent="0.25">
      <c r="A3" s="6" t="s">
        <v>79</v>
      </c>
      <c r="B3" s="108" t="s">
        <v>125</v>
      </c>
      <c r="C3" s="108" t="s">
        <v>132</v>
      </c>
      <c r="D3" s="111">
        <v>22</v>
      </c>
      <c r="E3" s="25">
        <f>1+(D3*2)%</f>
        <v>1.44</v>
      </c>
      <c r="F3" s="72" t="s">
        <v>226</v>
      </c>
      <c r="G3" s="4" t="str">
        <f ca="1">IFERROR("(((("&amp;IF(B8="One Handed",B10&amp;" + "&amp;C10&amp;" + "&amp;B12&amp;" + "&amp;C12&amp;") / 4)",B10&amp;" + "&amp;C10&amp;") / 2)") &amp; " * " &amp; B5*100 &amp; "%) + "&amp; IF(B17=0,0,B17) &amp; ") * ("    &amp;    B22 * 100 &amp; "% + " &amp; IFERROR(IF(INDEX(B17:B36,MATCH(Hidden!A28,'Character Offensive Stats'!A17:A36,0))&lt;&gt;0,INDEX(B17:B36,MATCH(Hidden!A28,'Character Offensive Stats'!A17:A36,0)) * 100 &amp; "%","0%"),"") &amp; IFERROR(IF(INDEX(B17:B36,MATCH(Hidden!B28,'Character Offensive Stats'!A17:A36,0))&lt;&gt;0," + " &amp; INDEX(B17:B36,MATCH(Hidden!B28,'Character Offensive Stats'!A17:A36,0)) * 100 &amp; "%"," + 0%"),"") &amp; IFERROR(IF(INDEX(B17:B36,MATCH(Hidden!C28,'Character Offensive Stats'!A17:A36,0))&lt;&gt;0," + " &amp; INDEX(B17:B36,MATCH(Hidden!C28,'Character Offensive Stats'!A17:A36,0)) * 100 &amp; "%"," + 0%"),"") &amp; IFERROR(IF(INDEX(B17:B36,MATCH(Hidden!D28,'Character Offensive Stats'!A17:A36,0))&lt;&gt;0," + " &amp; INDEX(B17:B36,MATCH(Hidden!D28,'Character Offensive Stats'!A17:A36,0)) * 100 &amp; "%"," + 0%"),"") &amp; IFERROR(IF(INDEX(B17:B36,MATCH(Hidden!E28,'Character Offensive Stats'!A17:A36,0))&lt;&gt;0," + " &amp; INDEX(B17:B36,MATCH(Hidden!E28,'Character Offensive Stats'!A17:A36,0)) * 100 &amp; "%"," + 0%"),"") &amp; IFERROR(IF(INDEX(B17:B36,MATCH(Hidden!F28,'Character Offensive Stats'!A17:A36,0))&lt;&gt;0," + " &amp; INDEX(B17:B36,MATCH(Hidden!F28,'Character Offensive Stats'!A17:A36,0)) * 100 &amp; "%"," + 0%"),"") &amp; IFERROR(IF(INDEX(B17:B36,MATCH(Hidden!G28,'Character Offensive Stats'!A17:A36,0))&lt;&gt;0," + " &amp; INDEX(B17:B36,MATCH(Hidden!G28,'Character Offensive Stats'!A17:A36,0)) * 100 &amp; "%"," + 0%"),"") &amp; IFERROR(IF(INDEX(B17:B36,MATCH(Hidden!H28,'Character Offensive Stats'!A17:A36,0))&lt;&gt;0," + " &amp; INDEX(B17:B36,MATCH(Hidden!H28,'Character Offensive Stats'!A17:A36,0)) * 100 &amp; "%"," + 0%"),"") &amp; IFERROR(IF(INDEX(B17:B36,MATCH(Hidden!I28,'Character Offensive Stats'!A17:A36,0))&lt;&gt;0," + " &amp; INDEX(B17:B36,MATCH(Hidden!I28,'Character Offensive Stats'!A17:A36,0)) * 100 &amp; "%"," + 0%"),"") &amp; IFERROR(IF(INDEX(B17:B36,MATCH(Hidden!J28,'Character Offensive Stats'!A17:A36,0))&lt;&gt;0," + " &amp; INDEX(B17:B36,MATCH(Hidden!J28,'Character Offensive Stats'!A17:A36,0)) * 100 &amp; "%"," + 0%"),"") &amp; ") * ("    &amp;    (D2*2)+100 &amp; "% * " &amp; B18*100 &amp; "%" &amp; IF(B19&gt;100%," * " &amp; B19*100 &amp; "%","") &amp; IF(B20&gt;100%," * " &amp; B20*100 &amp; "%","") &amp; ") * " &amp;IF(AND(B37&gt;0,B38&gt;0),"(("&amp;100+(B38*100)&amp;"%) * (1 + ("&amp;B37*100&amp;"% * ("&amp;100-(B38*100)&amp;"%)))) * ",IF(B37&gt;0,"("&amp;100+(B37*100)&amp;"%) * ",IF(AND(B37=0,B38&gt;0),"("&amp;100+(B38*100)&amp;"%) * ","")))&amp;"(" &amp; C36*100 &amp; "%)","Be sure to fill out the Default Attack completely")</f>
        <v>((((100 + 200 + 220 + 375) / 4) * 100%) + 424) * (2376% + 11390% + 9958% + 1016%) * (160% * 146.4% * 105%) * ((104%) * (1 + (20% * (96%)))) * (259.8955%)</v>
      </c>
    </row>
    <row r="4" spans="1:9" ht="15" customHeight="1" x14ac:dyDescent="0.25">
      <c r="A4" s="7"/>
      <c r="B4" s="7"/>
      <c r="C4" s="7"/>
      <c r="D4" s="7"/>
      <c r="F4" s="72" t="s">
        <v>227</v>
      </c>
      <c r="G4" s="4">
        <f ca="1">IFERROR(((IF(B8="One Handed",AVERAGE(B10:C10,B12:C12),AVERAGE(B10:C10))*B5)+B17)*(CELL("contents",INDIRECT("Hidden!"&amp;ADDRESS(CELL("row",INDEX(INDIRECT(CONCATENATE(SUBSTITUTE(B2," ",""),"Formulas")),MATCH(C2,INDIRECT(SUBSTITUTE(B2," ","")),0))),CELL("col",INDEX(INDIRECT(CONCATENATE(SUBSTITUTE(B2," ",""),"Formulas")),MATCH(C2,INDIRECT(SUBSTITUTE(B2," ","")),0)))+1))))*(E2*B18)*((1+B38)*(1+(B37*(1-B38))))*(C36),"Be sure to fill out the Default Attack completely")</f>
        <v>1209418.2866513666</v>
      </c>
    </row>
    <row r="5" spans="1:9" ht="15" customHeight="1" x14ac:dyDescent="0.25">
      <c r="A5" s="6" t="s">
        <v>285</v>
      </c>
      <c r="B5" s="69">
        <f ca="1">IFERROR(CELL("contents",INDIRECT("Hidden!"&amp;ADDRESS(CELL("row",INDEX(INDIRECT(CONCATENATE(SUBSTITUTE(B2," ",""),"Formulas")),1))-1,3))),"Fill in everything")</f>
        <v>1</v>
      </c>
      <c r="C5" s="71">
        <f ca="1">IFERROR(CELL("contents",INDIRECT("Hidden!"&amp;ADDRESS(CELL("row",INDEX(INDIRECT(CONCATENATE(SUBSTITUTE(B3," ",""),"Formulas")),1))-1,3))),"Fill in everything")</f>
        <v>2</v>
      </c>
      <c r="F5" s="72" t="s">
        <v>234</v>
      </c>
      <c r="G5" s="4" t="str">
        <f ca="1">IFERROR(IF(B8="One Handed","(Average ","(") &amp; "Weapon Atk Speed * "&amp;B6*100&amp;"%) / Attack Speed Multiplier / (1 + Attack Speed)","Be sure to fill out the Default Attack completely")</f>
        <v>(Average Weapon Atk Speed * 100%) / Attack Speed Multiplier / (1 + Attack Speed)</v>
      </c>
    </row>
    <row r="6" spans="1:9" ht="15" customHeight="1" x14ac:dyDescent="0.25">
      <c r="A6" s="6" t="s">
        <v>286</v>
      </c>
      <c r="B6" s="70">
        <f ca="1">IFERROR(CELL("contents",INDIRECT("Hidden!"&amp;ADDRESS(CELL("row",INDEX(INDIRECT(CONCATENATE(SUBSTITUTE(B2," ",""),"Formulas")),1))*1,3))),"Fill in everything")</f>
        <v>1</v>
      </c>
      <c r="F6" s="72" t="s">
        <v>235</v>
      </c>
      <c r="G6" s="36">
        <f ca="1">IFERROR((IF(B8="One Handed",(AVERAGE(D10,D12)*1.2),D10)*B6)/B34/(1+B33),"Be sure to fill out the Default Attack completely")</f>
        <v>1.1515181460067838</v>
      </c>
    </row>
    <row r="7" spans="1:9" ht="15" customHeight="1" x14ac:dyDescent="0.25">
      <c r="F7" s="72" t="s">
        <v>236</v>
      </c>
      <c r="G7" s="2" t="s">
        <v>233</v>
      </c>
    </row>
    <row r="8" spans="1:9" ht="15" customHeight="1" thickBot="1" x14ac:dyDescent="0.3">
      <c r="A8" s="6" t="s">
        <v>244</v>
      </c>
      <c r="B8" s="104" t="s">
        <v>243</v>
      </c>
      <c r="C8" s="8" t="s">
        <v>242</v>
      </c>
      <c r="F8" s="72" t="s">
        <v>237</v>
      </c>
      <c r="G8" s="4">
        <f ca="1">IFERROR(G4/G6,"Be sure to fill out the Default Attack completely")</f>
        <v>1050281.5703298885</v>
      </c>
    </row>
    <row r="9" spans="1:9" ht="15" customHeight="1" x14ac:dyDescent="0.25">
      <c r="A9" s="37" t="s">
        <v>245</v>
      </c>
      <c r="B9" s="34" t="s">
        <v>142</v>
      </c>
      <c r="C9" s="34" t="s">
        <v>143</v>
      </c>
      <c r="D9" s="35" t="s">
        <v>47</v>
      </c>
    </row>
    <row r="10" spans="1:9" ht="15" customHeight="1" thickBot="1" x14ac:dyDescent="0.3">
      <c r="A10" s="32" t="s">
        <v>145</v>
      </c>
      <c r="B10" s="105">
        <v>100</v>
      </c>
      <c r="C10" s="105">
        <v>200</v>
      </c>
      <c r="D10" s="33">
        <v>3.2</v>
      </c>
      <c r="F10" s="3" t="s">
        <v>138</v>
      </c>
      <c r="G10" s="74" t="str">
        <f>CONCATENATE(B3," ",C3)</f>
        <v>Earthquake With Fire</v>
      </c>
    </row>
    <row r="11" spans="1:9" ht="15" customHeight="1" x14ac:dyDescent="0.25">
      <c r="A11" s="37" t="s">
        <v>246</v>
      </c>
      <c r="B11" s="34" t="s">
        <v>142</v>
      </c>
      <c r="C11" s="34" t="s">
        <v>143</v>
      </c>
      <c r="D11" s="35" t="s">
        <v>47</v>
      </c>
      <c r="F11" s="3"/>
      <c r="G11" s="4" t="str">
        <f ca="1">IFERROR(INDEX(INDIRECT(CONCATENATE(SUBSTITUTE(B3," ",""),"Formulas")),MATCH(C3,INDIRECT(SUBSTITUTE(B3," ","")),0)),"Be sure to fill out the Offensive Move completely")</f>
        <v>Fire Damage, Elemental Damage, Area Damage</v>
      </c>
    </row>
    <row r="12" spans="1:9" ht="15" customHeight="1" thickBot="1" x14ac:dyDescent="0.3">
      <c r="A12" s="32" t="s">
        <v>145</v>
      </c>
      <c r="B12" s="105">
        <v>220</v>
      </c>
      <c r="C12" s="105">
        <v>375</v>
      </c>
      <c r="D12" s="33">
        <v>1.5</v>
      </c>
      <c r="F12" s="75" t="s">
        <v>226</v>
      </c>
      <c r="G12" s="4" t="str">
        <f ca="1">IFERROR("(((("&amp;IF(B8="One Handed",B10&amp;" + "&amp;C10&amp;" + "&amp;B12&amp;" + "&amp;C12&amp;") / 4)",B10&amp;" + "&amp;C10&amp;") / 2)") &amp; " * " &amp; C5*100 &amp; "%) + "&amp; IF(B17=0,0,B17) &amp; ") * ("    &amp;    B22 * 100 &amp; "% + " &amp; IFERROR(IF(INDEX(B17:B36,MATCH(Hidden!A30,'Character Offensive Stats'!A17:A36,0))&lt;&gt;0,INDEX(B17:B36,MATCH(Hidden!A30,'Character Offensive Stats'!A17:A36,0)) * 100 &amp; "%","0%"),"") &amp; IFERROR(IF(INDEX(B17:B36,MATCH(Hidden!B30,'Character Offensive Stats'!A17:A36,0))&lt;&gt;0," + " &amp; INDEX(B17:B36,MATCH(Hidden!B30,'Character Offensive Stats'!A17:A36,0)) * 100 &amp; "%"," + 0%"),"") &amp; IFERROR(IF(INDEX(B17:B36,MATCH(Hidden!C30,'Character Offensive Stats'!A17:A36,0))&lt;&gt;0," + " &amp; INDEX(B17:B36,MATCH(Hidden!C30,'Character Offensive Stats'!A17:A36,0)) * 100 &amp; "%"," + 0%"),"") &amp; IFERROR(IF(INDEX(B17:B36,MATCH(Hidden!D30,'Character Offensive Stats'!A17:A36,0))&lt;&gt;0," + " &amp; INDEX(B17:B36,MATCH(Hidden!D30,'Character Offensive Stats'!A17:A36,0)) * 100 &amp; "%"," + 0%"),"") &amp; IFERROR(IF(INDEX(B17:B36,MATCH(Hidden!E30,'Character Offensive Stats'!A17:A36,0))&lt;&gt;0," + " &amp; INDEX(B17:B36,MATCH(Hidden!E30,'Character Offensive Stats'!A17:A36,0)) * 100 &amp; "%"," + 0%"),"") &amp; IFERROR(IF(INDEX(B17:B36,MATCH(Hidden!F30,'Character Offensive Stats'!A17:A36,0))&lt;&gt;0," + " &amp; INDEX(B17:B36,MATCH(Hidden!F30,'Character Offensive Stats'!A17:A36,0)) * 100 &amp; "%"," + 0%"),"") &amp; IFERROR(IF(INDEX(B17:B36,MATCH(Hidden!G30,'Character Offensive Stats'!A17:A36,0))&lt;&gt;0," + " &amp; INDEX(B17:B36,MATCH(Hidden!G30,'Character Offensive Stats'!A17:A36,0)) * 100 &amp; "%"," + 0%"),"") &amp; IFERROR(IF(INDEX(B17:B36,MATCH(Hidden!H30,'Character Offensive Stats'!A17:A36,0))&lt;&gt;0," + " &amp; INDEX(B17:B36,MATCH(Hidden!H30,'Character Offensive Stats'!A17:A36,0)) * 100 &amp; "%"," + 0%"),"") &amp; IFERROR(IF(INDEX(B17:B36,MATCH(Hidden!I30,'Character Offensive Stats'!A17:A36,0))&lt;&gt;0," + " &amp; INDEX(B17:B36,MATCH(Hidden!I30,'Character Offensive Stats'!A17:A36,0)) * 100 &amp; "%"," + 0%"),"") &amp; IFERROR(IF(INDEX(B17:B36,MATCH(Hidden!J30,'Character Offensive Stats'!A17:A36,0))&lt;&gt;0," + " &amp; INDEX(B17:B36,MATCH(Hidden!J30,'Character Offensive Stats'!A17:A36,0)) * 100 &amp; "%"," + 0%"),"") &amp; ") * ("    &amp;    (D3*2)+100 &amp; "% * " &amp; B18*100 &amp; "%" &amp; IF(B19&gt;100%," * " &amp; B19*100 &amp; "%","") &amp; IF(B20&gt;100%," * " &amp; B20*100 &amp; "%","") &amp; ") * " &amp;IF(AND(B37&gt;0,B38&gt;0),"(("&amp;100+(B38*100)&amp;"%) * (1 + ("&amp;B37*100&amp;"% * ("&amp;100-(B38*100)&amp;"%)))) * ",IF(B37&gt;0,"("&amp;100+(B37*100)&amp;"%) * ",IF(AND(B37=0,B38&gt;0),"("&amp;100+(B38*100)&amp;"%) * ","")))&amp;"(" &amp; C36*100 &amp; "%)","Be sure to fill out the Offensive Move completely")</f>
        <v>((((100 + 200 + 220 + 375) / 4) * 200%) + 424) * (2376% + 9958% + 1016%) * (144% * 146.4% * 105%) * ((104%) * (1 + (20% * (96%)))) * (259.8955%)</v>
      </c>
    </row>
    <row r="13" spans="1:9" ht="15" customHeight="1" x14ac:dyDescent="0.25">
      <c r="F13" s="75" t="s">
        <v>227</v>
      </c>
      <c r="G13" s="4">
        <f ca="1">IFERROR(((IF(B8="One Handed",AVERAGE(B10:C10,B12:C12),AVERAGE(B10:C10))*C5)+B17)*(CELL("contents",INDIRECT("Hidden!"&amp;ADDRESS(CELL("row",INDEX(INDIRECT(CONCATENATE(SUBSTITUTE(B3," ",""),"Formulas")),MATCH(C3,INDIRECT(SUBSTITUTE(B3," ","")),0))),CELL("col",INDEX(INDIRECT(CONCATENATE(SUBSTITUTE(B3," ",""),"Formulas")),MATCH(C3,INDIRECT(SUBSTITUTE(B3," ","")),0)))+1))))*(E3*B18)*((1+B38)*(1+(B37*(1-B38))))*(C36),"Be sure to fill out the Offensive Move completely")</f>
        <v>790242.85996843362</v>
      </c>
    </row>
    <row r="14" spans="1:9" ht="15" customHeight="1" thickBot="1" x14ac:dyDescent="0.3">
      <c r="A14" s="24" t="s">
        <v>148</v>
      </c>
      <c r="B14" s="24"/>
      <c r="I14" s="2"/>
    </row>
    <row r="15" spans="1:9" ht="15" customHeight="1" x14ac:dyDescent="0.25">
      <c r="A15" t="s">
        <v>60</v>
      </c>
      <c r="B15" s="22" t="s">
        <v>147</v>
      </c>
    </row>
    <row r="16" spans="1:9" x14ac:dyDescent="0.25">
      <c r="B16" s="23" t="s">
        <v>146</v>
      </c>
    </row>
    <row r="17" spans="1:7" ht="15" customHeight="1" x14ac:dyDescent="0.25">
      <c r="A17" s="77" t="s">
        <v>16</v>
      </c>
      <c r="B17" s="94">
        <v>424</v>
      </c>
      <c r="F17" s="38"/>
    </row>
    <row r="18" spans="1:7" ht="15" customHeight="1" x14ac:dyDescent="0.25">
      <c r="A18" s="78" t="s">
        <v>17</v>
      </c>
      <c r="B18" s="95">
        <v>1.464</v>
      </c>
      <c r="C18" t="s">
        <v>248</v>
      </c>
    </row>
    <row r="19" spans="1:7" ht="15" customHeight="1" x14ac:dyDescent="0.25">
      <c r="A19" s="78" t="s">
        <v>255</v>
      </c>
      <c r="B19" s="95">
        <v>1</v>
      </c>
      <c r="C19" t="s">
        <v>248</v>
      </c>
      <c r="F19" s="38"/>
      <c r="G19" s="2"/>
    </row>
    <row r="20" spans="1:7" ht="15" customHeight="1" x14ac:dyDescent="0.25">
      <c r="A20" s="78" t="s">
        <v>254</v>
      </c>
      <c r="B20" s="95">
        <v>1.05</v>
      </c>
      <c r="C20" t="s">
        <v>248</v>
      </c>
      <c r="G20" s="2"/>
    </row>
    <row r="21" spans="1:7" ht="15" customHeight="1" x14ac:dyDescent="0.25">
      <c r="A21" s="78" t="s">
        <v>54</v>
      </c>
      <c r="B21" s="95">
        <v>1.1000000000000001</v>
      </c>
      <c r="C21" t="s">
        <v>248</v>
      </c>
      <c r="F21" s="39"/>
    </row>
    <row r="22" spans="1:7" ht="15" customHeight="1" x14ac:dyDescent="0.25">
      <c r="A22" s="78" t="s">
        <v>18</v>
      </c>
      <c r="B22" s="96">
        <v>23.76</v>
      </c>
    </row>
    <row r="23" spans="1:7" ht="15" customHeight="1" x14ac:dyDescent="0.25">
      <c r="A23" s="19" t="s">
        <v>19</v>
      </c>
      <c r="B23" s="97">
        <v>113.9</v>
      </c>
      <c r="C23" t="str">
        <f ca="1">IF(AND(B23&gt;0,ISERROR(VLOOKUP(A23,Hidden!$Q$1:$Q$10,1,FALSE))=TRUE),"&lt;&lt;&lt; Probably lost potential","")</f>
        <v/>
      </c>
    </row>
    <row r="24" spans="1:7" ht="15" customHeight="1" x14ac:dyDescent="0.25">
      <c r="A24" s="19" t="s">
        <v>20</v>
      </c>
      <c r="B24" s="97">
        <v>0</v>
      </c>
      <c r="C24" t="str">
        <f ca="1">IF(AND(B24&gt;0,ISERROR(VLOOKUP(A24,Hidden!$Q$1:$Q$10,1,FALSE))=TRUE),"&lt;&lt;&lt; Probably lost potential","")</f>
        <v/>
      </c>
    </row>
    <row r="25" spans="1:7" ht="15" customHeight="1" x14ac:dyDescent="0.25">
      <c r="A25" s="19" t="s">
        <v>59</v>
      </c>
      <c r="B25" s="97">
        <v>0</v>
      </c>
      <c r="C25" t="str">
        <f ca="1">IF(AND(B25&gt;0,ISERROR(VLOOKUP(A25,Hidden!$Q$1:$Q$10,1,FALSE))=TRUE),"&lt;&lt;&lt; Probably lost potential","")</f>
        <v/>
      </c>
    </row>
    <row r="26" spans="1:7" ht="15" customHeight="1" x14ac:dyDescent="0.25">
      <c r="A26" s="19" t="s">
        <v>21</v>
      </c>
      <c r="B26" s="97">
        <v>1.8140000000000001</v>
      </c>
      <c r="C26" t="str">
        <f ca="1">IF(AND(B26&gt;0,ISERROR(VLOOKUP(A26,Hidden!$Q$1:$Q$10,1,FALSE))=TRUE),"&lt;&lt;&lt; Probably lost potential","")</f>
        <v>&lt;&lt;&lt; Probably lost potential</v>
      </c>
    </row>
    <row r="27" spans="1:7" ht="15" customHeight="1" x14ac:dyDescent="0.25">
      <c r="A27" s="19" t="s">
        <v>22</v>
      </c>
      <c r="B27" s="97">
        <v>2.42</v>
      </c>
      <c r="C27" t="str">
        <f ca="1">IF(AND(B27&gt;0,ISERROR(VLOOKUP(A27,Hidden!$Q$1:$Q$10,1,FALSE))=TRUE),"&lt;&lt;&lt; Probably lost potential","")</f>
        <v>&lt;&lt;&lt; Probably lost potential</v>
      </c>
    </row>
    <row r="28" spans="1:7" ht="15" customHeight="1" x14ac:dyDescent="0.25">
      <c r="A28" s="19" t="s">
        <v>23</v>
      </c>
      <c r="B28" s="97">
        <v>99.58</v>
      </c>
      <c r="C28" t="str">
        <f ca="1">IF(AND(B28&gt;0,ISERROR(VLOOKUP(A28,Hidden!$Q$1:$Q$10,1,FALSE))=TRUE),"&lt;&lt;&lt; Probably lost potential","")</f>
        <v/>
      </c>
      <c r="G28" s="86" t="s">
        <v>228</v>
      </c>
    </row>
    <row r="29" spans="1:7" ht="15" customHeight="1" x14ac:dyDescent="0.25">
      <c r="A29" s="19" t="s">
        <v>55</v>
      </c>
      <c r="B29" s="97">
        <v>0</v>
      </c>
      <c r="C29" t="str">
        <f ca="1">IF(AND(B29&gt;0,ISERROR(VLOOKUP(A29,Hidden!$Q$1:$Q$10,1,FALSE))=TRUE),"&lt;&lt;&lt; Probably lost potential","")</f>
        <v/>
      </c>
      <c r="G29" s="86"/>
    </row>
    <row r="30" spans="1:7" ht="15" customHeight="1" x14ac:dyDescent="0.25">
      <c r="A30" s="19" t="s">
        <v>24</v>
      </c>
      <c r="B30" s="97">
        <v>0</v>
      </c>
      <c r="C30" t="str">
        <f ca="1">IF(AND(B30&gt;0,ISERROR(VLOOKUP(A30,Hidden!$Q$1:$Q$10,1,FALSE))=TRUE),"&lt;&lt;&lt; Probably lost potential","")</f>
        <v/>
      </c>
      <c r="G30" s="86"/>
    </row>
    <row r="31" spans="1:7" ht="15" customHeight="1" x14ac:dyDescent="0.25">
      <c r="A31" s="19" t="s">
        <v>56</v>
      </c>
      <c r="B31" s="97">
        <v>0</v>
      </c>
      <c r="C31" t="str">
        <f ca="1">IF(AND(B31&gt;0,ISERROR(VLOOKUP(A31,Hidden!$Q$1:$Q$10,1,FALSE))=TRUE),"&lt;&lt;&lt; Probably lost potential","")</f>
        <v/>
      </c>
      <c r="F31" s="2"/>
      <c r="G31" s="86" t="s">
        <v>284</v>
      </c>
    </row>
    <row r="32" spans="1:7" ht="15" customHeight="1" x14ac:dyDescent="0.25">
      <c r="A32" s="19" t="s">
        <v>25</v>
      </c>
      <c r="B32" s="97">
        <v>10.16</v>
      </c>
      <c r="C32" t="str">
        <f ca="1">IF(AND(B32&gt;0,ISERROR(VLOOKUP(A32,Hidden!$Q$1:$Q$10,1,FALSE))=TRUE),"&lt;&lt;&lt; Probably lost potential","")</f>
        <v/>
      </c>
      <c r="F32" s="2"/>
      <c r="G32" s="86"/>
    </row>
    <row r="33" spans="1:7" ht="15" customHeight="1" x14ac:dyDescent="0.25">
      <c r="A33" s="76" t="s">
        <v>26</v>
      </c>
      <c r="B33" s="98">
        <v>0.753</v>
      </c>
      <c r="G33" s="86"/>
    </row>
    <row r="34" spans="1:7" ht="15" customHeight="1" thickBot="1" x14ac:dyDescent="0.3">
      <c r="A34" s="73" t="s">
        <v>27</v>
      </c>
      <c r="B34" s="99">
        <v>1.397</v>
      </c>
      <c r="C34" t="s">
        <v>248</v>
      </c>
      <c r="E34" s="12"/>
      <c r="G34" s="87" t="s">
        <v>241</v>
      </c>
    </row>
    <row r="35" spans="1:7" ht="15" customHeight="1" x14ac:dyDescent="0.25">
      <c r="A35" s="79" t="s">
        <v>11</v>
      </c>
      <c r="B35" s="100">
        <v>0.64500000000000002</v>
      </c>
      <c r="C35" s="84" t="s">
        <v>44</v>
      </c>
      <c r="G35" s="87"/>
    </row>
    <row r="36" spans="1:7" ht="15" customHeight="1" thickBot="1" x14ac:dyDescent="0.3">
      <c r="A36" s="80" t="s">
        <v>12</v>
      </c>
      <c r="B36" s="101">
        <v>3.4790000000000001</v>
      </c>
      <c r="C36" s="83">
        <f>B35*(B36-1)+1</f>
        <v>2.5989550000000001</v>
      </c>
      <c r="D36" s="21"/>
      <c r="G36" s="87"/>
    </row>
    <row r="37" spans="1:7" x14ac:dyDescent="0.25">
      <c r="A37" s="81" t="s">
        <v>57</v>
      </c>
      <c r="B37" s="102">
        <v>0.2</v>
      </c>
      <c r="G37" s="87"/>
    </row>
    <row r="38" spans="1:7" ht="15.75" thickBot="1" x14ac:dyDescent="0.3">
      <c r="A38" s="82" t="s">
        <v>58</v>
      </c>
      <c r="B38" s="103">
        <v>0.04</v>
      </c>
      <c r="G38" s="87"/>
    </row>
    <row r="48" spans="1:7" ht="15" customHeight="1" x14ac:dyDescent="0.25"/>
    <row r="49" spans="7:8" ht="15" customHeight="1" x14ac:dyDescent="0.25"/>
    <row r="50" spans="7:8" ht="15" customHeight="1" x14ac:dyDescent="0.25"/>
    <row r="51" spans="7:8" ht="15" customHeight="1" x14ac:dyDescent="0.25"/>
    <row r="52" spans="7:8" x14ac:dyDescent="0.25">
      <c r="H52" s="2"/>
    </row>
    <row r="53" spans="7:8" x14ac:dyDescent="0.25">
      <c r="G53" s="68"/>
    </row>
    <row r="54" spans="7:8" x14ac:dyDescent="0.25">
      <c r="G54" s="68"/>
    </row>
    <row r="55" spans="7:8" ht="15" customHeight="1" x14ac:dyDescent="0.25"/>
  </sheetData>
  <sheetProtection password="CCFD" sheet="1" objects="1" scenarios="1"/>
  <mergeCells count="3">
    <mergeCell ref="G28:G30"/>
    <mergeCell ref="G31:G33"/>
    <mergeCell ref="G34:G38"/>
  </mergeCells>
  <conditionalFormatting sqref="A11:D12">
    <cfRule type="expression" dxfId="4" priority="1">
      <formula>$B$8="Two Handed"</formula>
    </cfRule>
  </conditionalFormatting>
  <dataValidations count="6">
    <dataValidation type="list" allowBlank="1" showInputMessage="1" showErrorMessage="1" sqref="B2">
      <formula1>IF(B1="Warrior",W_Defaults,IF(B1="Ranger",R_Defaults,M_Defaults))</formula1>
    </dataValidation>
    <dataValidation type="list" allowBlank="1" showInputMessage="1" showErrorMessage="1" sqref="B3">
      <formula1>IF(B1="Warrior",W_Offensive,IF(B1="Ranger",R_Offensive,M_Offensive))</formula1>
    </dataValidation>
    <dataValidation type="list" allowBlank="1" showInputMessage="1" showErrorMessage="1" sqref="C2:C3">
      <formula1>INDIRECT(SUBSTITUTE(B2," ",""))</formula1>
    </dataValidation>
    <dataValidation type="list" allowBlank="1" showInputMessage="1" showErrorMessage="1" sqref="D2:D3">
      <formula1>"0,1,2,3,4,5,6,7,8,9,10,11,12,13,14,15,16,17,18,19,20,21,22,23,24,25,26,27,28,29,30"</formula1>
    </dataValidation>
    <dataValidation allowBlank="1" showInputMessage="1" showErrorMessage="1" prompt="If just the 1st column is green, the row's value is affecting the Dmg of the selected skill._x000a__x000a_If both are green, the row's value is affecting the Dmg for *all of your skills._x000a__x000a_    *Except Attack Speed &amp; its Multiplier, which is for the default skill only." sqref="A14:B14"/>
    <dataValidation type="list" allowBlank="1" showInputMessage="1" showErrorMessage="1" sqref="B8">
      <formula1>"One Handed,Two Handed"</formula1>
    </dataValidation>
  </dataValidations>
  <hyperlinks>
    <hyperlink ref="D34:E34" r:id="rId1" display="&lt;&lt;&lt; https://youtu.be/V4uV3icrmw0"/>
  </hyperlinks>
  <pageMargins left="0.7" right="0.7" top="0.75" bottom="0.75" header="0.3" footer="0.3"/>
  <pageSetup orientation="portrait" r:id="rId2"/>
  <ignoredErrors>
    <ignoredError sqref="G13 G4" formulaRange="1"/>
  </ignoredErrors>
  <extLst>
    <ext xmlns:x14="http://schemas.microsoft.com/office/spreadsheetml/2009/9/main" uri="{78C0D931-6437-407d-A8EE-F0AAD7539E65}">
      <x14:conditionalFormattings>
        <x14:conditionalFormatting xmlns:xm="http://schemas.microsoft.com/office/excel/2006/main">
          <x14:cfRule type="expression" priority="3" id="{B9330D16-32CD-4AB6-8F4C-98F7E004D172}">
            <xm:f>AND(NOT(ISERROR(VLOOKUP($A23:$A32,Hidden!$Q$1:$Q$10,1,FALSE))),NOT(ISERROR(VLOOKUP($A23:$A32,Hidden!$R$1:$R$10,1,FALSE))))</xm:f>
            <x14:dxf>
              <fill>
                <gradientFill>
                  <stop position="0">
                    <color rgb="FF92D050"/>
                  </stop>
                  <stop position="1">
                    <color rgb="FF00B0F0"/>
                  </stop>
                </gradientFill>
              </fill>
            </x14:dxf>
          </x14:cfRule>
          <x14:cfRule type="expression" priority="4" id="{7D53BB21-CCEB-494B-86C3-567A05D6D8DB}">
            <xm:f>NOT(ISERROR(VLOOKUP($A23:$A32,Hidden!$Q$1:$Q$10,1,FALSE)))</xm:f>
            <x14:dxf>
              <fill>
                <patternFill>
                  <bgColor rgb="FF92D050"/>
                </patternFill>
              </fill>
            </x14:dxf>
          </x14:cfRule>
          <x14:cfRule type="expression" priority="7" id="{B8BD2F1C-CDEC-4D3B-93E7-8951215FEA2F}">
            <xm:f>NOT(ISERROR(VLOOKUP($A23:$A32,Hidden!$R$1:$R$10,1,FALSE)))</xm:f>
            <x14:dxf>
              <fill>
                <patternFill>
                  <bgColor rgb="FF00B0F0"/>
                </patternFill>
              </fill>
            </x14:dxf>
          </x14:cfRule>
          <x14:cfRule type="expression" priority="8" id="{EB97B594-AF30-4E15-BCB8-8C82C856BC02}">
            <xm:f>ISERROR(VLOOKUP($A23:$A32,Hidden!$Q$1:$Q$10,1,FALSE))</xm:f>
            <x14:dxf>
              <fill>
                <patternFill>
                  <bgColor rgb="FFFF5050"/>
                </patternFill>
              </fill>
            </x14:dxf>
          </x14:cfRule>
          <xm:sqref>A23:A32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Hidden!$A$2:$A$4</xm:f>
          </x14:formula1>
          <xm:sqref>B1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35"/>
  <sheetViews>
    <sheetView workbookViewId="0">
      <selection activeCell="L13" sqref="L13"/>
    </sheetView>
  </sheetViews>
  <sheetFormatPr defaultRowHeight="15" x14ac:dyDescent="0.25"/>
  <cols>
    <col min="1" max="1" width="14.42578125" bestFit="1" customWidth="1"/>
    <col min="2" max="2" width="20.5703125" customWidth="1"/>
    <col min="3" max="3" width="15.140625" bestFit="1" customWidth="1"/>
    <col min="4" max="4" width="11.140625" bestFit="1" customWidth="1"/>
  </cols>
  <sheetData>
    <row r="1" spans="1:12" x14ac:dyDescent="0.25">
      <c r="A1" s="88" t="s">
        <v>306</v>
      </c>
      <c r="B1" s="89"/>
      <c r="C1" s="89"/>
      <c r="D1" s="90"/>
      <c r="F1" s="61" t="s">
        <v>305</v>
      </c>
      <c r="G1" s="14"/>
      <c r="H1" s="14"/>
      <c r="I1" s="14"/>
      <c r="J1" s="14"/>
      <c r="K1" s="14"/>
      <c r="L1" s="15"/>
    </row>
    <row r="2" spans="1:12" x14ac:dyDescent="0.25">
      <c r="A2" s="52" t="s">
        <v>267</v>
      </c>
      <c r="B2" s="46" t="s">
        <v>268</v>
      </c>
      <c r="C2" s="46" t="s">
        <v>269</v>
      </c>
      <c r="D2" s="53" t="s">
        <v>287</v>
      </c>
      <c r="F2" s="62" t="s">
        <v>302</v>
      </c>
      <c r="G2" s="19"/>
      <c r="H2" s="19"/>
      <c r="I2" s="19"/>
      <c r="J2" s="19"/>
      <c r="K2" s="19"/>
      <c r="L2" s="63"/>
    </row>
    <row r="3" spans="1:12" x14ac:dyDescent="0.25">
      <c r="A3" s="112">
        <v>0</v>
      </c>
      <c r="B3" s="47" t="s">
        <v>18</v>
      </c>
      <c r="C3" s="48">
        <f>IF('Attributes &amp; Paragons'!A3=0,Hidden!U1,Hidden!U1*(1+'Attributes &amp; Paragons'!A3*10%))</f>
        <v>2.42</v>
      </c>
      <c r="D3" s="54">
        <f>C3*2</f>
        <v>4.84</v>
      </c>
      <c r="F3" s="62" t="s">
        <v>303</v>
      </c>
      <c r="G3" s="19"/>
      <c r="H3" s="19"/>
      <c r="I3" s="19"/>
      <c r="J3" s="19"/>
      <c r="K3" s="19"/>
      <c r="L3" s="63"/>
    </row>
    <row r="4" spans="1:12" x14ac:dyDescent="0.25">
      <c r="A4" s="112">
        <v>0</v>
      </c>
      <c r="B4" s="49" t="s">
        <v>19</v>
      </c>
      <c r="C4" s="50">
        <f>IF('Attributes &amp; Paragons'!A4=0,Hidden!U2,Hidden!U2*(1+'Attributes &amp; Paragons'!A4*10%))</f>
        <v>4.84</v>
      </c>
      <c r="D4" s="55">
        <f t="shared" ref="D4:D16" si="0">C4*2</f>
        <v>9.68</v>
      </c>
      <c r="F4" s="62" t="s">
        <v>311</v>
      </c>
      <c r="G4" s="19"/>
      <c r="H4" s="19"/>
      <c r="I4" s="19"/>
      <c r="J4" s="19"/>
      <c r="K4" s="19"/>
      <c r="L4" s="63"/>
    </row>
    <row r="5" spans="1:12" x14ac:dyDescent="0.25">
      <c r="A5" s="112">
        <v>0</v>
      </c>
      <c r="B5" s="49" t="s">
        <v>20</v>
      </c>
      <c r="C5" s="50">
        <f>IF('Attributes &amp; Paragons'!A5=0,Hidden!U3,Hidden!U3*(1+'Attributes &amp; Paragons'!A5*10%))</f>
        <v>4.84</v>
      </c>
      <c r="D5" s="55">
        <f t="shared" si="0"/>
        <v>9.68</v>
      </c>
      <c r="F5" s="41"/>
      <c r="G5" s="67" t="s">
        <v>307</v>
      </c>
      <c r="H5" t="s">
        <v>308</v>
      </c>
      <c r="L5" s="42"/>
    </row>
    <row r="6" spans="1:12" x14ac:dyDescent="0.25">
      <c r="A6" s="112">
        <v>0</v>
      </c>
      <c r="B6" s="49" t="s">
        <v>59</v>
      </c>
      <c r="C6" s="50">
        <f>IF('Attributes &amp; Paragons'!A6=0,Hidden!U4,Hidden!U4*(1+'Attributes &amp; Paragons'!A6*10%))</f>
        <v>4.84</v>
      </c>
      <c r="D6" s="55">
        <f t="shared" si="0"/>
        <v>9.68</v>
      </c>
      <c r="F6" s="41"/>
      <c r="G6" s="67" t="s">
        <v>309</v>
      </c>
      <c r="H6" t="s">
        <v>310</v>
      </c>
      <c r="L6" s="42"/>
    </row>
    <row r="7" spans="1:12" ht="15.75" thickBot="1" x14ac:dyDescent="0.3">
      <c r="A7" s="112">
        <v>0</v>
      </c>
      <c r="B7" s="49" t="s">
        <v>21</v>
      </c>
      <c r="C7" s="50">
        <f>IF('Attributes &amp; Paragons'!A7=0,Hidden!U5,Hidden!U5*(1+'Attributes &amp; Paragons'!A7*10%))</f>
        <v>4.84</v>
      </c>
      <c r="D7" s="55">
        <f t="shared" si="0"/>
        <v>9.68</v>
      </c>
      <c r="F7" s="64" t="s">
        <v>304</v>
      </c>
      <c r="G7" s="65"/>
      <c r="H7" s="65"/>
      <c r="I7" s="65"/>
      <c r="J7" s="65"/>
      <c r="K7" s="65"/>
      <c r="L7" s="66"/>
    </row>
    <row r="8" spans="1:12" x14ac:dyDescent="0.25">
      <c r="A8" s="112">
        <v>0</v>
      </c>
      <c r="B8" s="49" t="s">
        <v>22</v>
      </c>
      <c r="C8" s="50">
        <f>IF('Attributes &amp; Paragons'!A8=0,Hidden!U6,Hidden!U6*(1+'Attributes &amp; Paragons'!A8*10%))</f>
        <v>4.84</v>
      </c>
      <c r="D8" s="55">
        <f t="shared" si="0"/>
        <v>9.68</v>
      </c>
    </row>
    <row r="9" spans="1:12" x14ac:dyDescent="0.25">
      <c r="A9" s="112">
        <v>0</v>
      </c>
      <c r="B9" s="49" t="s">
        <v>23</v>
      </c>
      <c r="C9" s="50">
        <f>IF('Attributes &amp; Paragons'!A9=0,Hidden!U7,Hidden!U7*(1+'Attributes &amp; Paragons'!A9*10%))</f>
        <v>4.84</v>
      </c>
      <c r="D9" s="55">
        <f t="shared" si="0"/>
        <v>9.68</v>
      </c>
    </row>
    <row r="10" spans="1:12" ht="15.75" thickBot="1" x14ac:dyDescent="0.3">
      <c r="A10" s="112">
        <v>0</v>
      </c>
      <c r="B10" s="49" t="s">
        <v>55</v>
      </c>
      <c r="C10" s="50">
        <f>IF('Attributes &amp; Paragons'!A10=0,Hidden!U8,Hidden!U8*(1+'Attributes &amp; Paragons'!A10*10%))</f>
        <v>4.84</v>
      </c>
      <c r="D10" s="55">
        <f t="shared" si="0"/>
        <v>9.68</v>
      </c>
    </row>
    <row r="11" spans="1:12" x14ac:dyDescent="0.25">
      <c r="A11" s="112">
        <v>0</v>
      </c>
      <c r="B11" s="49" t="s">
        <v>24</v>
      </c>
      <c r="C11" s="50">
        <f>IF('Attributes &amp; Paragons'!A11=0,Hidden!U9,Hidden!U9*(1+'Attributes &amp; Paragons'!A11*10%))</f>
        <v>4.84</v>
      </c>
      <c r="D11" s="55">
        <f t="shared" si="0"/>
        <v>9.68</v>
      </c>
      <c r="F11" s="61" t="s">
        <v>292</v>
      </c>
      <c r="G11" s="14"/>
      <c r="H11" s="14"/>
      <c r="I11" s="41"/>
      <c r="J11" s="61" t="s">
        <v>293</v>
      </c>
      <c r="K11" s="14"/>
      <c r="L11" s="15"/>
    </row>
    <row r="12" spans="1:12" x14ac:dyDescent="0.25">
      <c r="A12" s="112">
        <v>0</v>
      </c>
      <c r="B12" s="49" t="s">
        <v>56</v>
      </c>
      <c r="C12" s="50">
        <f>IF('Attributes &amp; Paragons'!A12=0,Hidden!U10,Hidden!U10*(1+'Attributes &amp; Paragons'!A12*10%))</f>
        <v>4.84</v>
      </c>
      <c r="D12" s="55">
        <f t="shared" si="0"/>
        <v>9.68</v>
      </c>
      <c r="F12" s="41"/>
      <c r="G12" s="3" t="s">
        <v>289</v>
      </c>
      <c r="H12" s="114">
        <v>0</v>
      </c>
      <c r="I12" s="41"/>
      <c r="J12" s="41"/>
      <c r="K12" s="3" t="s">
        <v>294</v>
      </c>
      <c r="L12" s="115">
        <v>7</v>
      </c>
    </row>
    <row r="13" spans="1:12" ht="15.75" thickBot="1" x14ac:dyDescent="0.3">
      <c r="A13" s="112">
        <v>0</v>
      </c>
      <c r="B13" s="47" t="s">
        <v>25</v>
      </c>
      <c r="C13" s="48">
        <f>IF('Attributes &amp; Paragons'!A13=0,Hidden!U11,Hidden!U11*(1+'Attributes &amp; Paragons'!A13*10%))</f>
        <v>2.42</v>
      </c>
      <c r="D13" s="54">
        <f t="shared" si="0"/>
        <v>4.84</v>
      </c>
      <c r="F13" s="41"/>
      <c r="G13" s="3" t="s">
        <v>290</v>
      </c>
      <c r="H13" s="114">
        <v>10</v>
      </c>
      <c r="I13" s="41"/>
      <c r="J13" s="43"/>
      <c r="K13" s="44" t="s">
        <v>296</v>
      </c>
      <c r="L13" s="45">
        <f>(POWER(3,(L12-1)))</f>
        <v>729</v>
      </c>
    </row>
    <row r="14" spans="1:12" ht="15.75" thickBot="1" x14ac:dyDescent="0.3">
      <c r="A14" s="112">
        <v>0</v>
      </c>
      <c r="B14" s="46" t="s">
        <v>26</v>
      </c>
      <c r="C14" s="51">
        <f>IF('Attributes &amp; Paragons'!A14=0,Hidden!U12,Hidden!U12*(1+'Attributes &amp; Paragons'!A14*10%))</f>
        <v>0.04</v>
      </c>
      <c r="D14" s="56">
        <f t="shared" si="0"/>
        <v>0.08</v>
      </c>
      <c r="F14" s="43"/>
      <c r="G14" s="44" t="s">
        <v>295</v>
      </c>
      <c r="H14" s="44">
        <f ca="1">SUM(INDIRECT("Hidden!W"&amp;H12+2&amp;":W"&amp;H13+2))</f>
        <v>88572</v>
      </c>
      <c r="I14" s="41"/>
    </row>
    <row r="15" spans="1:12" x14ac:dyDescent="0.25">
      <c r="A15" s="112">
        <v>0</v>
      </c>
      <c r="B15" s="46" t="s">
        <v>11</v>
      </c>
      <c r="C15" s="51">
        <f>IF('Attributes &amp; Paragons'!A15=0,Hidden!U13,Hidden!U13*(1+'Attributes &amp; Paragons'!A15*10%))</f>
        <v>0.04</v>
      </c>
      <c r="D15" s="56">
        <f t="shared" si="0"/>
        <v>0.08</v>
      </c>
    </row>
    <row r="16" spans="1:12" x14ac:dyDescent="0.25">
      <c r="A16" s="112">
        <v>0</v>
      </c>
      <c r="B16" s="46" t="s">
        <v>12</v>
      </c>
      <c r="C16" s="51">
        <f>IF('Attributes &amp; Paragons'!A16=0,Hidden!U14,Hidden!U14*(1+'Attributes &amp; Paragons'!A16*10%))</f>
        <v>0.12</v>
      </c>
      <c r="D16" s="56">
        <f t="shared" si="0"/>
        <v>0.24</v>
      </c>
    </row>
    <row r="17" spans="1:14" x14ac:dyDescent="0.25">
      <c r="A17" s="112">
        <v>0</v>
      </c>
      <c r="B17" s="46" t="s">
        <v>13</v>
      </c>
      <c r="C17" s="46">
        <f>IF('Attributes &amp; Paragons'!A17=0,Hidden!U15,Hidden!U15*(1+'Attributes &amp; Paragons'!A17*10%))</f>
        <v>1210</v>
      </c>
      <c r="D17" s="53">
        <f>C17*2</f>
        <v>2420</v>
      </c>
    </row>
    <row r="18" spans="1:14" x14ac:dyDescent="0.25">
      <c r="A18" s="112">
        <v>0</v>
      </c>
      <c r="B18" s="46" t="s">
        <v>270</v>
      </c>
      <c r="C18" s="46">
        <f>IF('Attributes &amp; Paragons'!A18=0,Hidden!U16,Hidden!U16*(1+'Attributes &amp; Paragons'!A18*10%))</f>
        <v>120.5</v>
      </c>
      <c r="D18" s="53">
        <f t="shared" ref="D18:D29" si="1">C18*2</f>
        <v>241</v>
      </c>
    </row>
    <row r="19" spans="1:14" x14ac:dyDescent="0.25">
      <c r="A19" s="112">
        <v>0</v>
      </c>
      <c r="B19" s="46" t="s">
        <v>271</v>
      </c>
      <c r="C19" s="46">
        <f>IF('Attributes &amp; Paragons'!A19=0,Hidden!U17,Hidden!U17*(1+'Attributes &amp; Paragons'!A19*10%))</f>
        <v>603</v>
      </c>
      <c r="D19" s="53">
        <f t="shared" si="1"/>
        <v>1206</v>
      </c>
    </row>
    <row r="20" spans="1:14" x14ac:dyDescent="0.25">
      <c r="A20" s="112">
        <v>0</v>
      </c>
      <c r="B20" s="47" t="s">
        <v>276</v>
      </c>
      <c r="C20" s="47">
        <f>IF('Attributes &amp; Paragons'!A20=0,Hidden!U18,Hidden!U18*(1+'Attributes &amp; Paragons'!A20*10%))</f>
        <v>150</v>
      </c>
      <c r="D20" s="57">
        <f t="shared" si="1"/>
        <v>300</v>
      </c>
    </row>
    <row r="21" spans="1:14" x14ac:dyDescent="0.25">
      <c r="A21" s="112">
        <v>0</v>
      </c>
      <c r="B21" s="47" t="s">
        <v>273</v>
      </c>
      <c r="C21" s="47">
        <f>IF('Attributes &amp; Paragons'!A21=0,Hidden!U19,Hidden!U19*(1+'Attributes &amp; Paragons'!A21*10%))</f>
        <v>150</v>
      </c>
      <c r="D21" s="57">
        <f t="shared" si="1"/>
        <v>300</v>
      </c>
    </row>
    <row r="22" spans="1:14" x14ac:dyDescent="0.25">
      <c r="A22" s="112">
        <v>0</v>
      </c>
      <c r="B22" s="47" t="s">
        <v>279</v>
      </c>
      <c r="C22" s="47">
        <f>IF('Attributes &amp; Paragons'!A22=0,Hidden!U20,Hidden!U20*(1+'Attributes &amp; Paragons'!A22*10%))</f>
        <v>150</v>
      </c>
      <c r="D22" s="57">
        <f t="shared" si="1"/>
        <v>300</v>
      </c>
    </row>
    <row r="23" spans="1:14" x14ac:dyDescent="0.25">
      <c r="A23" s="112">
        <v>0</v>
      </c>
      <c r="B23" s="49" t="s">
        <v>274</v>
      </c>
      <c r="C23" s="49">
        <f>IF('Attributes &amp; Paragons'!A23=0,Hidden!U21,Hidden!U21*(1+'Attributes &amp; Paragons'!A23*10%))</f>
        <v>220</v>
      </c>
      <c r="D23" s="58">
        <f t="shared" si="1"/>
        <v>440</v>
      </c>
    </row>
    <row r="24" spans="1:14" x14ac:dyDescent="0.25">
      <c r="A24" s="112">
        <v>0</v>
      </c>
      <c r="B24" s="47" t="s">
        <v>281</v>
      </c>
      <c r="C24" s="47">
        <f>IF('Attributes &amp; Paragons'!A24=0,Hidden!U22,Hidden!U22*(1+'Attributes &amp; Paragons'!A24*10%))</f>
        <v>150</v>
      </c>
      <c r="D24" s="57">
        <f t="shared" si="1"/>
        <v>300</v>
      </c>
    </row>
    <row r="25" spans="1:14" x14ac:dyDescent="0.25">
      <c r="A25" s="112">
        <v>0</v>
      </c>
      <c r="B25" s="49" t="s">
        <v>280</v>
      </c>
      <c r="C25" s="49">
        <f>IF('Attributes &amp; Paragons'!A25=0,Hidden!U23,Hidden!U23*(1+'Attributes &amp; Paragons'!A25*10%))</f>
        <v>350</v>
      </c>
      <c r="D25" s="58">
        <f t="shared" si="1"/>
        <v>700</v>
      </c>
    </row>
    <row r="26" spans="1:14" x14ac:dyDescent="0.25">
      <c r="A26" s="112">
        <v>0</v>
      </c>
      <c r="B26" s="49" t="s">
        <v>275</v>
      </c>
      <c r="C26" s="49">
        <f>IF('Attributes &amp; Paragons'!A26=0,Hidden!U24,Hidden!U24*(1+'Attributes &amp; Paragons'!A26*10%))</f>
        <v>350</v>
      </c>
      <c r="D26" s="58">
        <f t="shared" si="1"/>
        <v>700</v>
      </c>
    </row>
    <row r="27" spans="1:14" x14ac:dyDescent="0.25">
      <c r="A27" s="112">
        <v>0</v>
      </c>
      <c r="B27" s="49" t="s">
        <v>272</v>
      </c>
      <c r="C27" s="49">
        <f>IF('Attributes &amp; Paragons'!A27=0,Hidden!U25,Hidden!U25*(1+'Attributes &amp; Paragons'!A27*10%))</f>
        <v>350</v>
      </c>
      <c r="D27" s="58">
        <f t="shared" si="1"/>
        <v>700</v>
      </c>
    </row>
    <row r="28" spans="1:14" x14ac:dyDescent="0.25">
      <c r="A28" s="112">
        <v>0</v>
      </c>
      <c r="B28" s="49" t="s">
        <v>277</v>
      </c>
      <c r="C28" s="49">
        <f>IF('Attributes &amp; Paragons'!A28=0,Hidden!U26,Hidden!U26*(1+'Attributes &amp; Paragons'!A28*10%))</f>
        <v>350</v>
      </c>
      <c r="D28" s="58">
        <f t="shared" si="1"/>
        <v>700</v>
      </c>
      <c r="N28" s="2"/>
    </row>
    <row r="29" spans="1:14" ht="15.75" thickBot="1" x14ac:dyDescent="0.3">
      <c r="A29" s="113">
        <v>0</v>
      </c>
      <c r="B29" s="59" t="s">
        <v>278</v>
      </c>
      <c r="C29" s="59">
        <f>IF('Attributes &amp; Paragons'!A29=0,Hidden!U27,Hidden!U27*(1+'Attributes &amp; Paragons'!A29*10%))</f>
        <v>242</v>
      </c>
      <c r="D29" s="60">
        <f t="shared" si="1"/>
        <v>484</v>
      </c>
    </row>
    <row r="31" spans="1:14" x14ac:dyDescent="0.25">
      <c r="A31" s="40" t="s">
        <v>301</v>
      </c>
      <c r="B31" s="40"/>
      <c r="C31" s="40"/>
      <c r="D31" s="40"/>
      <c r="E31" s="40"/>
    </row>
    <row r="32" spans="1:14" x14ac:dyDescent="0.25">
      <c r="B32" s="40" t="s">
        <v>298</v>
      </c>
      <c r="C32" s="40"/>
      <c r="D32" s="40"/>
    </row>
    <row r="33" spans="2:5" x14ac:dyDescent="0.25">
      <c r="B33" s="40" t="s">
        <v>297</v>
      </c>
      <c r="C33" s="40"/>
      <c r="D33" s="40"/>
    </row>
    <row r="34" spans="2:5" x14ac:dyDescent="0.25">
      <c r="C34" s="40" t="s">
        <v>299</v>
      </c>
      <c r="D34" s="40"/>
      <c r="E34" s="40"/>
    </row>
    <row r="35" spans="2:5" x14ac:dyDescent="0.25">
      <c r="B35" s="40" t="s">
        <v>300</v>
      </c>
      <c r="C35" s="40"/>
    </row>
  </sheetData>
  <sheetProtection password="CCFD" sheet="1" objects="1" scenarios="1"/>
  <mergeCells count="1">
    <mergeCell ref="A1:D1"/>
  </mergeCells>
  <dataValidations count="3">
    <dataValidation type="list" allowBlank="1" showInputMessage="1" showErrorMessage="1" sqref="A3:A29">
      <formula1>"0,1,2,3,4,5,6,7,8,9,10,11,12,13,14,15,16,17,18,19,20,21,22,23,24,25,26,27,28,29,30"</formula1>
    </dataValidation>
    <dataValidation type="list" allowBlank="1" showInputMessage="1" showErrorMessage="1" sqref="H12">
      <formula1>"0,1,2,3,4,5,6,7,8,9"</formula1>
    </dataValidation>
    <dataValidation type="list" allowBlank="1" showInputMessage="1" showErrorMessage="1" sqref="H13 L12">
      <formula1>"1,2,3,4,5,6,7,8,9,10"</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41"/>
  <sheetViews>
    <sheetView topLeftCell="A24" workbookViewId="0">
      <selection activeCell="E45" sqref="E45"/>
    </sheetView>
  </sheetViews>
  <sheetFormatPr defaultRowHeight="15" x14ac:dyDescent="0.25"/>
  <cols>
    <col min="1" max="1" width="16.28515625" customWidth="1"/>
    <col min="2" max="2" width="21" bestFit="1" customWidth="1"/>
    <col min="3" max="3" width="20.42578125" bestFit="1" customWidth="1"/>
    <col min="4" max="4" width="19.140625" bestFit="1" customWidth="1"/>
    <col min="5" max="5" width="16.28515625" bestFit="1" customWidth="1"/>
    <col min="6" max="6" width="15.7109375" bestFit="1" customWidth="1"/>
    <col min="7" max="7" width="16.28515625" bestFit="1" customWidth="1"/>
    <col min="8" max="8" width="17.7109375" bestFit="1" customWidth="1"/>
    <col min="9" max="9" width="17" bestFit="1" customWidth="1"/>
    <col min="10" max="10" width="15.7109375" bestFit="1" customWidth="1"/>
    <col min="11" max="11" width="18" bestFit="1" customWidth="1"/>
    <col min="12" max="12" width="17.42578125" bestFit="1" customWidth="1"/>
    <col min="13" max="13" width="16" bestFit="1" customWidth="1"/>
    <col min="14" max="14" width="15.5703125" bestFit="1" customWidth="1"/>
    <col min="15" max="15" width="16.42578125" bestFit="1" customWidth="1"/>
    <col min="17" max="17" width="18.28515625" customWidth="1"/>
    <col min="18" max="18" width="17.85546875" bestFit="1" customWidth="1"/>
    <col min="20" max="20" width="22.42578125" bestFit="1" customWidth="1"/>
  </cols>
  <sheetData>
    <row r="1" spans="1:23" x14ac:dyDescent="0.25">
      <c r="A1" t="s">
        <v>65</v>
      </c>
      <c r="B1" t="s">
        <v>66</v>
      </c>
      <c r="C1" t="s">
        <v>67</v>
      </c>
      <c r="D1" t="s">
        <v>68</v>
      </c>
      <c r="E1" t="s">
        <v>80</v>
      </c>
      <c r="F1" t="s">
        <v>87</v>
      </c>
      <c r="G1" t="s">
        <v>88</v>
      </c>
      <c r="H1" t="s">
        <v>103</v>
      </c>
      <c r="I1" t="s">
        <v>104</v>
      </c>
      <c r="J1" t="s">
        <v>105</v>
      </c>
      <c r="K1" t="s">
        <v>106</v>
      </c>
      <c r="L1" t="s">
        <v>107</v>
      </c>
      <c r="M1" t="s">
        <v>108</v>
      </c>
      <c r="Q1" s="9" t="str">
        <f t="array" aca="1" ref="Q1:Q10" ca="1">TRANSPOSE(A28:J28)</f>
        <v>Melee Damage</v>
      </c>
      <c r="R1" s="9" t="str">
        <f t="array" aca="1" ref="R1:R10" ca="1">TRANSPOSE(A30:J30)</f>
        <v>Fire Damage</v>
      </c>
      <c r="T1" t="s">
        <v>18</v>
      </c>
      <c r="U1" s="1">
        <v>2.42</v>
      </c>
      <c r="V1" s="1"/>
      <c r="W1" t="s">
        <v>291</v>
      </c>
    </row>
    <row r="2" spans="1:23" x14ac:dyDescent="0.25">
      <c r="A2" t="s">
        <v>62</v>
      </c>
      <c r="B2" t="s">
        <v>77</v>
      </c>
      <c r="C2" t="s">
        <v>77</v>
      </c>
      <c r="D2" t="s">
        <v>77</v>
      </c>
      <c r="E2" t="s">
        <v>38</v>
      </c>
      <c r="F2" t="s">
        <v>96</v>
      </c>
      <c r="G2" t="s">
        <v>89</v>
      </c>
      <c r="H2" t="s">
        <v>124</v>
      </c>
      <c r="I2" t="s">
        <v>109</v>
      </c>
      <c r="J2" t="s">
        <v>118</v>
      </c>
      <c r="K2" t="s">
        <v>121</v>
      </c>
      <c r="L2" t="s">
        <v>112</v>
      </c>
      <c r="M2" t="s">
        <v>115</v>
      </c>
      <c r="Q2" s="10" t="str">
        <f ca="1"/>
        <v>Fire Damage</v>
      </c>
      <c r="R2" s="10" t="str">
        <f ca="1"/>
        <v>Elemental Damage</v>
      </c>
      <c r="T2" t="s">
        <v>19</v>
      </c>
      <c r="U2" s="1">
        <v>4.84</v>
      </c>
      <c r="V2" s="1"/>
      <c r="W2">
        <v>0</v>
      </c>
    </row>
    <row r="3" spans="1:23" x14ac:dyDescent="0.25">
      <c r="A3" t="s">
        <v>63</v>
      </c>
      <c r="B3" t="s">
        <v>6</v>
      </c>
      <c r="C3" t="s">
        <v>71</v>
      </c>
      <c r="D3" t="s">
        <v>74</v>
      </c>
      <c r="E3" t="s">
        <v>81</v>
      </c>
      <c r="F3" t="s">
        <v>97</v>
      </c>
      <c r="G3" t="s">
        <v>90</v>
      </c>
      <c r="H3" t="s">
        <v>125</v>
      </c>
      <c r="I3" t="s">
        <v>110</v>
      </c>
      <c r="J3" t="s">
        <v>119</v>
      </c>
      <c r="K3" t="s">
        <v>122</v>
      </c>
      <c r="L3" t="s">
        <v>113</v>
      </c>
      <c r="M3" t="s">
        <v>116</v>
      </c>
      <c r="Q3" s="10" t="str">
        <f ca="1"/>
        <v>Elemental Damage</v>
      </c>
      <c r="R3" s="10" t="str">
        <f ca="1"/>
        <v>Area Damage</v>
      </c>
      <c r="T3" t="s">
        <v>20</v>
      </c>
      <c r="U3" s="1">
        <v>4.84</v>
      </c>
      <c r="V3" s="1"/>
      <c r="W3">
        <v>3</v>
      </c>
    </row>
    <row r="4" spans="1:23" x14ac:dyDescent="0.25">
      <c r="A4" t="s">
        <v>64</v>
      </c>
      <c r="B4" t="s">
        <v>69</v>
      </c>
      <c r="C4" t="s">
        <v>72</v>
      </c>
      <c r="D4" t="s">
        <v>75</v>
      </c>
      <c r="E4" t="s">
        <v>82</v>
      </c>
      <c r="F4" t="s">
        <v>98</v>
      </c>
      <c r="G4" t="s">
        <v>91</v>
      </c>
      <c r="H4" t="s">
        <v>126</v>
      </c>
      <c r="I4" t="s">
        <v>111</v>
      </c>
      <c r="J4" t="s">
        <v>120</v>
      </c>
      <c r="K4" t="s">
        <v>123</v>
      </c>
      <c r="L4" t="s">
        <v>114</v>
      </c>
      <c r="M4" t="s">
        <v>117</v>
      </c>
      <c r="Q4" s="10" t="str">
        <f ca="1"/>
        <v>Direct Damage</v>
      </c>
      <c r="R4" s="10" t="str">
        <f ca="1"/>
        <v/>
      </c>
      <c r="T4" t="s">
        <v>59</v>
      </c>
      <c r="U4" s="1">
        <v>4.84</v>
      </c>
      <c r="V4" s="1"/>
      <c r="W4">
        <v>9</v>
      </c>
    </row>
    <row r="5" spans="1:23" x14ac:dyDescent="0.25">
      <c r="B5" t="s">
        <v>70</v>
      </c>
      <c r="C5" t="s">
        <v>73</v>
      </c>
      <c r="D5" t="s">
        <v>76</v>
      </c>
      <c r="E5" t="s">
        <v>83</v>
      </c>
      <c r="F5" t="s">
        <v>99</v>
      </c>
      <c r="G5" t="s">
        <v>92</v>
      </c>
      <c r="Q5" s="10" t="str">
        <f ca="1"/>
        <v/>
      </c>
      <c r="R5" s="10" t="str">
        <f ca="1"/>
        <v/>
      </c>
      <c r="T5" t="s">
        <v>21</v>
      </c>
      <c r="U5" s="1">
        <v>4.84</v>
      </c>
      <c r="V5" s="1"/>
      <c r="W5">
        <v>27</v>
      </c>
    </row>
    <row r="6" spans="1:23" x14ac:dyDescent="0.25">
      <c r="E6" t="s">
        <v>84</v>
      </c>
      <c r="F6" t="s">
        <v>100</v>
      </c>
      <c r="G6" t="s">
        <v>93</v>
      </c>
      <c r="Q6" s="10" t="str">
        <f ca="1"/>
        <v/>
      </c>
      <c r="R6" s="10" t="str">
        <f ca="1"/>
        <v/>
      </c>
      <c r="T6" t="s">
        <v>22</v>
      </c>
      <c r="U6" s="1">
        <v>4.84</v>
      </c>
      <c r="V6" s="1"/>
      <c r="W6">
        <v>81</v>
      </c>
    </row>
    <row r="7" spans="1:23" x14ac:dyDescent="0.25">
      <c r="E7" t="s">
        <v>85</v>
      </c>
      <c r="F7" t="s">
        <v>101</v>
      </c>
      <c r="G7" t="s">
        <v>94</v>
      </c>
      <c r="Q7" s="10" t="str">
        <f ca="1"/>
        <v/>
      </c>
      <c r="R7" s="10" t="str">
        <f ca="1"/>
        <v/>
      </c>
      <c r="T7" t="s">
        <v>23</v>
      </c>
      <c r="U7" s="1">
        <v>4.84</v>
      </c>
      <c r="V7" s="1"/>
      <c r="W7">
        <v>243</v>
      </c>
    </row>
    <row r="8" spans="1:23" x14ac:dyDescent="0.25">
      <c r="E8" t="s">
        <v>86</v>
      </c>
      <c r="F8" t="s">
        <v>102</v>
      </c>
      <c r="G8" t="s">
        <v>95</v>
      </c>
      <c r="Q8" s="10" t="str">
        <f ca="1"/>
        <v/>
      </c>
      <c r="R8" s="10" t="str">
        <f ca="1"/>
        <v/>
      </c>
      <c r="T8" t="s">
        <v>55</v>
      </c>
      <c r="U8" s="1">
        <v>4.84</v>
      </c>
      <c r="V8" s="1"/>
      <c r="W8">
        <v>729</v>
      </c>
    </row>
    <row r="9" spans="1:23" x14ac:dyDescent="0.25">
      <c r="Q9" s="10" t="str">
        <f ca="1"/>
        <v/>
      </c>
      <c r="R9" s="10" t="str">
        <f ca="1"/>
        <v/>
      </c>
      <c r="T9" t="s">
        <v>24</v>
      </c>
      <c r="U9" s="1">
        <v>4.84</v>
      </c>
      <c r="V9" s="1"/>
      <c r="W9">
        <v>2187</v>
      </c>
    </row>
    <row r="10" spans="1:23" ht="15.75" thickBot="1" x14ac:dyDescent="0.3">
      <c r="A10" t="s">
        <v>38</v>
      </c>
      <c r="B10" t="s">
        <v>81</v>
      </c>
      <c r="C10" t="s">
        <v>82</v>
      </c>
      <c r="D10" t="s">
        <v>83</v>
      </c>
      <c r="E10" t="s">
        <v>84</v>
      </c>
      <c r="F10" t="s">
        <v>85</v>
      </c>
      <c r="G10" t="s">
        <v>86</v>
      </c>
      <c r="I10" t="s">
        <v>124</v>
      </c>
      <c r="J10" t="s">
        <v>125</v>
      </c>
      <c r="K10" t="s">
        <v>126</v>
      </c>
      <c r="M10" t="s">
        <v>121</v>
      </c>
      <c r="N10" t="s">
        <v>122</v>
      </c>
      <c r="O10" t="s">
        <v>123</v>
      </c>
      <c r="Q10" s="11" t="str">
        <f ca="1"/>
        <v/>
      </c>
      <c r="R10" s="11" t="str">
        <f ca="1"/>
        <v/>
      </c>
      <c r="T10" t="s">
        <v>56</v>
      </c>
      <c r="U10" s="1">
        <v>4.84</v>
      </c>
      <c r="V10" s="1"/>
      <c r="W10">
        <v>6561</v>
      </c>
    </row>
    <row r="11" spans="1:23" x14ac:dyDescent="0.25">
      <c r="A11" t="s">
        <v>127</v>
      </c>
      <c r="B11" t="s">
        <v>127</v>
      </c>
      <c r="C11" t="s">
        <v>127</v>
      </c>
      <c r="D11" t="s">
        <v>127</v>
      </c>
      <c r="E11" t="s">
        <v>127</v>
      </c>
      <c r="F11" t="s">
        <v>127</v>
      </c>
      <c r="G11" t="s">
        <v>127</v>
      </c>
      <c r="I11" t="s">
        <v>127</v>
      </c>
      <c r="J11" t="s">
        <v>127</v>
      </c>
      <c r="K11" t="s">
        <v>127</v>
      </c>
      <c r="M11" t="s">
        <v>127</v>
      </c>
      <c r="N11" t="s">
        <v>127</v>
      </c>
      <c r="O11" t="s">
        <v>127</v>
      </c>
      <c r="T11" t="s">
        <v>25</v>
      </c>
      <c r="U11" s="1">
        <v>2.42</v>
      </c>
      <c r="V11" s="1"/>
      <c r="W11">
        <v>19683</v>
      </c>
    </row>
    <row r="12" spans="1:23" x14ac:dyDescent="0.25">
      <c r="A12" t="s">
        <v>131</v>
      </c>
      <c r="B12" t="s">
        <v>133</v>
      </c>
      <c r="C12" t="s">
        <v>130</v>
      </c>
      <c r="F12" t="s">
        <v>133</v>
      </c>
      <c r="G12" t="s">
        <v>131</v>
      </c>
      <c r="I12" t="s">
        <v>131</v>
      </c>
      <c r="J12" t="s">
        <v>132</v>
      </c>
      <c r="T12" t="s">
        <v>26</v>
      </c>
      <c r="U12" s="1">
        <v>0.04</v>
      </c>
      <c r="V12" s="1"/>
      <c r="W12">
        <v>59049</v>
      </c>
    </row>
    <row r="13" spans="1:23" x14ac:dyDescent="0.25">
      <c r="A13" t="s">
        <v>132</v>
      </c>
      <c r="T13" t="s">
        <v>11</v>
      </c>
      <c r="U13" s="1">
        <v>0.04</v>
      </c>
      <c r="V13" s="1"/>
    </row>
    <row r="14" spans="1:23" x14ac:dyDescent="0.25">
      <c r="T14" t="s">
        <v>12</v>
      </c>
      <c r="U14" s="1">
        <v>0.12</v>
      </c>
      <c r="V14" s="1"/>
    </row>
    <row r="15" spans="1:23" x14ac:dyDescent="0.25">
      <c r="T15" t="s">
        <v>13</v>
      </c>
      <c r="U15">
        <v>1210</v>
      </c>
    </row>
    <row r="16" spans="1:23" x14ac:dyDescent="0.25">
      <c r="A16" t="s">
        <v>96</v>
      </c>
      <c r="B16" t="s">
        <v>97</v>
      </c>
      <c r="C16" t="s">
        <v>98</v>
      </c>
      <c r="D16" t="s">
        <v>99</v>
      </c>
      <c r="E16" t="s">
        <v>100</v>
      </c>
      <c r="F16" t="s">
        <v>101</v>
      </c>
      <c r="G16" t="s">
        <v>102</v>
      </c>
      <c r="I16" t="s">
        <v>109</v>
      </c>
      <c r="J16" t="s">
        <v>110</v>
      </c>
      <c r="K16" t="s">
        <v>111</v>
      </c>
      <c r="M16" t="s">
        <v>112</v>
      </c>
      <c r="N16" t="s">
        <v>113</v>
      </c>
      <c r="O16" t="s">
        <v>114</v>
      </c>
      <c r="T16" t="s">
        <v>270</v>
      </c>
      <c r="U16">
        <v>120.5</v>
      </c>
    </row>
    <row r="17" spans="1:23" x14ac:dyDescent="0.25">
      <c r="A17" t="s">
        <v>127</v>
      </c>
      <c r="B17" t="s">
        <v>127</v>
      </c>
      <c r="C17" t="s">
        <v>127</v>
      </c>
      <c r="D17" t="s">
        <v>127</v>
      </c>
      <c r="E17" t="s">
        <v>127</v>
      </c>
      <c r="F17" t="s">
        <v>127</v>
      </c>
      <c r="G17" t="s">
        <v>127</v>
      </c>
      <c r="I17" t="s">
        <v>127</v>
      </c>
      <c r="J17" t="s">
        <v>127</v>
      </c>
      <c r="K17" t="s">
        <v>127</v>
      </c>
      <c r="M17" t="s">
        <v>127</v>
      </c>
      <c r="N17" t="s">
        <v>127</v>
      </c>
      <c r="O17" t="s">
        <v>127</v>
      </c>
      <c r="T17" t="s">
        <v>271</v>
      </c>
      <c r="U17">
        <v>603</v>
      </c>
    </row>
    <row r="18" spans="1:23" x14ac:dyDescent="0.25">
      <c r="A18" t="s">
        <v>133</v>
      </c>
      <c r="C18" t="s">
        <v>131</v>
      </c>
      <c r="D18" t="s">
        <v>134</v>
      </c>
      <c r="F18" t="s">
        <v>132</v>
      </c>
      <c r="G18" t="s">
        <v>133</v>
      </c>
      <c r="I18" t="s">
        <v>133</v>
      </c>
      <c r="K18" t="s">
        <v>132</v>
      </c>
      <c r="T18" t="s">
        <v>276</v>
      </c>
      <c r="U18">
        <v>150</v>
      </c>
    </row>
    <row r="19" spans="1:23" x14ac:dyDescent="0.25">
      <c r="F19" t="s">
        <v>131</v>
      </c>
      <c r="T19" t="s">
        <v>273</v>
      </c>
      <c r="U19">
        <v>150</v>
      </c>
    </row>
    <row r="20" spans="1:23" x14ac:dyDescent="0.25">
      <c r="T20" t="s">
        <v>279</v>
      </c>
      <c r="U20">
        <v>150</v>
      </c>
    </row>
    <row r="21" spans="1:23" x14ac:dyDescent="0.25">
      <c r="T21" t="s">
        <v>274</v>
      </c>
      <c r="U21">
        <v>220</v>
      </c>
      <c r="W21" s="2"/>
    </row>
    <row r="22" spans="1:23" x14ac:dyDescent="0.25">
      <c r="A22" t="s">
        <v>89</v>
      </c>
      <c r="B22" t="s">
        <v>90</v>
      </c>
      <c r="C22" t="s">
        <v>91</v>
      </c>
      <c r="D22" t="s">
        <v>92</v>
      </c>
      <c r="E22" t="s">
        <v>93</v>
      </c>
      <c r="F22" t="s">
        <v>94</v>
      </c>
      <c r="G22" t="s">
        <v>95</v>
      </c>
      <c r="I22" t="s">
        <v>118</v>
      </c>
      <c r="J22" t="s">
        <v>119</v>
      </c>
      <c r="K22" t="s">
        <v>120</v>
      </c>
      <c r="M22" t="s">
        <v>115</v>
      </c>
      <c r="N22" t="s">
        <v>116</v>
      </c>
      <c r="O22" t="s">
        <v>117</v>
      </c>
      <c r="T22" t="s">
        <v>281</v>
      </c>
      <c r="U22">
        <v>150</v>
      </c>
    </row>
    <row r="23" spans="1:23" x14ac:dyDescent="0.25">
      <c r="A23" t="s">
        <v>127</v>
      </c>
      <c r="B23" t="s">
        <v>127</v>
      </c>
      <c r="C23" t="s">
        <v>127</v>
      </c>
      <c r="D23" t="s">
        <v>127</v>
      </c>
      <c r="E23" t="s">
        <v>127</v>
      </c>
      <c r="F23" t="s">
        <v>127</v>
      </c>
      <c r="G23" t="s">
        <v>127</v>
      </c>
      <c r="I23" t="s">
        <v>127</v>
      </c>
      <c r="J23" t="s">
        <v>127</v>
      </c>
      <c r="K23" t="s">
        <v>127</v>
      </c>
      <c r="M23" t="s">
        <v>127</v>
      </c>
      <c r="N23" t="s">
        <v>127</v>
      </c>
      <c r="O23" t="s">
        <v>127</v>
      </c>
      <c r="T23" t="s">
        <v>280</v>
      </c>
      <c r="U23">
        <v>350</v>
      </c>
    </row>
    <row r="24" spans="1:23" x14ac:dyDescent="0.25">
      <c r="G24" t="s">
        <v>136</v>
      </c>
      <c r="I24" t="s">
        <v>136</v>
      </c>
      <c r="J24" t="s">
        <v>129</v>
      </c>
      <c r="K24" t="s">
        <v>128</v>
      </c>
      <c r="T24" t="s">
        <v>275</v>
      </c>
      <c r="U24">
        <v>350</v>
      </c>
    </row>
    <row r="25" spans="1:23" x14ac:dyDescent="0.25">
      <c r="G25" t="s">
        <v>135</v>
      </c>
      <c r="T25" t="s">
        <v>272</v>
      </c>
      <c r="U25">
        <v>350</v>
      </c>
    </row>
    <row r="26" spans="1:23" ht="15.75" thickBot="1" x14ac:dyDescent="0.3">
      <c r="T26" t="s">
        <v>277</v>
      </c>
      <c r="U26">
        <v>350</v>
      </c>
    </row>
    <row r="27" spans="1:23" x14ac:dyDescent="0.25">
      <c r="A27" s="13">
        <v>1</v>
      </c>
      <c r="B27" s="14">
        <v>2</v>
      </c>
      <c r="C27" s="14">
        <v>3</v>
      </c>
      <c r="D27" s="14">
        <v>4</v>
      </c>
      <c r="E27" s="14">
        <v>5</v>
      </c>
      <c r="F27" s="14">
        <v>6</v>
      </c>
      <c r="G27" s="14">
        <v>7</v>
      </c>
      <c r="H27" s="14">
        <v>8</v>
      </c>
      <c r="I27" s="14">
        <v>9</v>
      </c>
      <c r="J27" s="15">
        <v>10</v>
      </c>
      <c r="T27" t="s">
        <v>278</v>
      </c>
      <c r="U27">
        <v>242</v>
      </c>
    </row>
    <row r="28" spans="1:23" ht="15.75" thickBot="1" x14ac:dyDescent="0.3">
      <c r="A28" s="16" t="str">
        <f ca="1">TRIM(MID(SUBSTITUTE('Character Offensive Stats'!$G2,",",REPT(" ",LEN('Character Offensive Stats'!$G2))),(A$27-1)*LEN('Character Offensive Stats'!$G2)+1,LEN('Character Offensive Stats'!$G2)))</f>
        <v>Melee Damage</v>
      </c>
      <c r="B28" s="17" t="str">
        <f ca="1">TRIM(MID(SUBSTITUTE('Character Offensive Stats'!$G2,",",REPT(" ",LEN('Character Offensive Stats'!$G2))),(B$27-1)*LEN('Character Offensive Stats'!$G2)+1,LEN('Character Offensive Stats'!$G2)))</f>
        <v>Fire Damage</v>
      </c>
      <c r="C28" s="17" t="str">
        <f ca="1">TRIM(MID(SUBSTITUTE('Character Offensive Stats'!$G2,",",REPT(" ",LEN('Character Offensive Stats'!$G2))),(C$27-1)*LEN('Character Offensive Stats'!$G2)+1,LEN('Character Offensive Stats'!$G2)))</f>
        <v>Elemental Damage</v>
      </c>
      <c r="D28" s="17" t="str">
        <f ca="1">TRIM(MID(SUBSTITUTE('Character Offensive Stats'!$G2,",",REPT(" ",LEN('Character Offensive Stats'!$G2))),(D$27-1)*LEN('Character Offensive Stats'!$G2)+1,LEN('Character Offensive Stats'!$G2)))</f>
        <v>Direct Damage</v>
      </c>
      <c r="E28" s="17" t="str">
        <f ca="1">TRIM(MID(SUBSTITUTE('Character Offensive Stats'!$G2,",",REPT(" ",LEN('Character Offensive Stats'!$G2))),(E$27-1)*LEN('Character Offensive Stats'!$G2)+1,LEN('Character Offensive Stats'!$G2)))</f>
        <v/>
      </c>
      <c r="F28" s="17" t="str">
        <f ca="1">TRIM(MID(SUBSTITUTE('Character Offensive Stats'!$G2,",",REPT(" ",LEN('Character Offensive Stats'!$G2))),(F$27-1)*LEN('Character Offensive Stats'!$G2)+1,LEN('Character Offensive Stats'!$G2)))</f>
        <v/>
      </c>
      <c r="G28" s="17" t="str">
        <f ca="1">TRIM(MID(SUBSTITUTE('Character Offensive Stats'!$G2,",",REPT(" ",LEN('Character Offensive Stats'!$G2))),(G$27-1)*LEN('Character Offensive Stats'!$G2)+1,LEN('Character Offensive Stats'!$G2)))</f>
        <v/>
      </c>
      <c r="H28" s="17" t="str">
        <f ca="1">TRIM(MID(SUBSTITUTE('Character Offensive Stats'!$G2,",",REPT(" ",LEN('Character Offensive Stats'!$G2))),(H$27-1)*LEN('Character Offensive Stats'!$G2)+1,LEN('Character Offensive Stats'!$G2)))</f>
        <v/>
      </c>
      <c r="I28" s="17" t="str">
        <f ca="1">TRIM(MID(SUBSTITUTE('Character Offensive Stats'!$G2,",",REPT(" ",LEN('Character Offensive Stats'!$G2))),(I$27-1)*LEN('Character Offensive Stats'!$G2)+1,LEN('Character Offensive Stats'!$G2)))</f>
        <v/>
      </c>
      <c r="J28" s="18" t="str">
        <f ca="1">TRIM(MID(SUBSTITUTE('Character Offensive Stats'!$G2,",",REPT(" ",LEN('Character Offensive Stats'!$G2))),(J$27-1)*LEN('Character Offensive Stats'!$G2)+1,LEN('Character Offensive Stats'!$G2)))</f>
        <v/>
      </c>
    </row>
    <row r="29" spans="1:23" x14ac:dyDescent="0.25">
      <c r="A29" s="13">
        <v>1</v>
      </c>
      <c r="B29" s="14">
        <v>2</v>
      </c>
      <c r="C29" s="14">
        <v>3</v>
      </c>
      <c r="D29" s="14">
        <v>4</v>
      </c>
      <c r="E29" s="14">
        <v>5</v>
      </c>
      <c r="F29" s="14">
        <v>6</v>
      </c>
      <c r="G29" s="14">
        <v>7</v>
      </c>
      <c r="H29" s="14">
        <v>8</v>
      </c>
      <c r="I29" s="14">
        <v>9</v>
      </c>
      <c r="J29" s="15">
        <v>10</v>
      </c>
    </row>
    <row r="30" spans="1:23" ht="15.75" thickBot="1" x14ac:dyDescent="0.3">
      <c r="A30" s="16" t="str">
        <f ca="1">TRIM(MID(SUBSTITUTE('Character Offensive Stats'!$G11,",",REPT(" ",LEN('Character Offensive Stats'!$G11))),(A$27-1)*LEN('Character Offensive Stats'!$G11)+1,LEN('Character Offensive Stats'!$G11)))</f>
        <v>Fire Damage</v>
      </c>
      <c r="B30" s="17" t="str">
        <f ca="1">TRIM(MID(SUBSTITUTE('Character Offensive Stats'!$G11,",",REPT(" ",LEN('Character Offensive Stats'!$G11))),(B$27-1)*LEN('Character Offensive Stats'!$G11)+1,LEN('Character Offensive Stats'!$G11)))</f>
        <v>Elemental Damage</v>
      </c>
      <c r="C30" s="17" t="str">
        <f ca="1">TRIM(MID(SUBSTITUTE('Character Offensive Stats'!$G11,",",REPT(" ",LEN('Character Offensive Stats'!$G11))),(C$27-1)*LEN('Character Offensive Stats'!$G11)+1,LEN('Character Offensive Stats'!$G11)))</f>
        <v>Area Damage</v>
      </c>
      <c r="D30" s="17" t="str">
        <f ca="1">TRIM(MID(SUBSTITUTE('Character Offensive Stats'!$G11,",",REPT(" ",LEN('Character Offensive Stats'!$G11))),(D$27-1)*LEN('Character Offensive Stats'!$G11)+1,LEN('Character Offensive Stats'!$G11)))</f>
        <v/>
      </c>
      <c r="E30" s="17" t="str">
        <f ca="1">TRIM(MID(SUBSTITUTE('Character Offensive Stats'!$G11,",",REPT(" ",LEN('Character Offensive Stats'!$G11))),(E$27-1)*LEN('Character Offensive Stats'!$G11)+1,LEN('Character Offensive Stats'!$G11)))</f>
        <v/>
      </c>
      <c r="F30" s="17" t="str">
        <f ca="1">TRIM(MID(SUBSTITUTE('Character Offensive Stats'!$G11,",",REPT(" ",LEN('Character Offensive Stats'!$G11))),(F$27-1)*LEN('Character Offensive Stats'!$G11)+1,LEN('Character Offensive Stats'!$G11)))</f>
        <v/>
      </c>
      <c r="G30" s="17" t="str">
        <f ca="1">TRIM(MID(SUBSTITUTE('Character Offensive Stats'!$G11,",",REPT(" ",LEN('Character Offensive Stats'!$G11))),(G$27-1)*LEN('Character Offensive Stats'!$G11)+1,LEN('Character Offensive Stats'!$G11)))</f>
        <v/>
      </c>
      <c r="H30" s="17" t="str">
        <f ca="1">TRIM(MID(SUBSTITUTE('Character Offensive Stats'!$G11,",",REPT(" ",LEN('Character Offensive Stats'!$G11))),(H$27-1)*LEN('Character Offensive Stats'!$G11)+1,LEN('Character Offensive Stats'!$G11)))</f>
        <v/>
      </c>
      <c r="I30" s="17" t="str">
        <f ca="1">TRIM(MID(SUBSTITUTE('Character Offensive Stats'!$G11,",",REPT(" ",LEN('Character Offensive Stats'!$G11))),(I$27-1)*LEN('Character Offensive Stats'!$G11)+1,LEN('Character Offensive Stats'!$G11)))</f>
        <v/>
      </c>
      <c r="J30" s="18" t="str">
        <f ca="1">TRIM(MID(SUBSTITUTE('Character Offensive Stats'!$G11,",",REPT(" ",LEN('Character Offensive Stats'!$G11))),(J$27-1)*LEN('Character Offensive Stats'!$G11)+1,LEN('Character Offensive Stats'!$G11)))</f>
        <v/>
      </c>
    </row>
    <row r="32" spans="1:23" x14ac:dyDescent="0.25">
      <c r="A32" t="s">
        <v>137</v>
      </c>
      <c r="B32" t="s">
        <v>288</v>
      </c>
      <c r="C32" s="1">
        <v>1</v>
      </c>
    </row>
    <row r="33" spans="1:13" x14ac:dyDescent="0.25">
      <c r="A33" t="s">
        <v>139</v>
      </c>
      <c r="B33" s="1">
        <f>'Character Offensive Stats'!B22+'Character Offensive Stats'!B23+'Character Offensive Stats'!B32</f>
        <v>147.82</v>
      </c>
      <c r="C33" s="1">
        <v>1</v>
      </c>
    </row>
    <row r="34" spans="1:13" x14ac:dyDescent="0.25">
      <c r="A34" t="s">
        <v>140</v>
      </c>
      <c r="B34" s="1">
        <f>'Character Offensive Stats'!B22+'Character Offensive Stats'!B23+'Character Offensive Stats'!B30+'Character Offensive Stats'!B32</f>
        <v>147.82</v>
      </c>
    </row>
    <row r="35" spans="1:13" x14ac:dyDescent="0.25">
      <c r="A35" t="s">
        <v>141</v>
      </c>
      <c r="B35" s="1">
        <f>'Character Offensive Stats'!B22+'Character Offensive Stats'!B23+'Character Offensive Stats'!B28+'Character Offensive Stats'!B32</f>
        <v>247.4</v>
      </c>
    </row>
    <row r="37" spans="1:13" x14ac:dyDescent="0.25">
      <c r="A37" t="s">
        <v>163</v>
      </c>
      <c r="C37" s="1">
        <v>0.5</v>
      </c>
      <c r="E37" s="28"/>
      <c r="F37" s="28"/>
      <c r="G37" s="28"/>
      <c r="H37" s="28" t="s">
        <v>231</v>
      </c>
      <c r="I37" s="28"/>
      <c r="J37" s="28"/>
      <c r="K37" s="28"/>
      <c r="L37" s="28"/>
      <c r="M37" s="28"/>
    </row>
    <row r="38" spans="1:13" x14ac:dyDescent="0.25">
      <c r="A38" t="s">
        <v>181</v>
      </c>
      <c r="B38" s="1">
        <f>'Character Offensive Stats'!B22+'Character Offensive Stats'!B23+'Character Offensive Stats'!B26</f>
        <v>139.47399999999999</v>
      </c>
      <c r="C38" s="1">
        <v>1</v>
      </c>
      <c r="E38" s="28" t="s">
        <v>13</v>
      </c>
      <c r="F38" s="29" t="s">
        <v>29</v>
      </c>
      <c r="G38" s="28"/>
      <c r="H38" s="28"/>
      <c r="I38" s="28"/>
      <c r="J38" s="28"/>
      <c r="K38" s="28"/>
      <c r="L38" s="28"/>
      <c r="M38" s="28"/>
    </row>
    <row r="39" spans="1:13" x14ac:dyDescent="0.25">
      <c r="A39" t="s">
        <v>210</v>
      </c>
      <c r="B39" s="1">
        <f>'Character Offensive Stats'!B22+'Character Offensive Stats'!B23+'Character Offensive Stats'!B29+'Character Offensive Stats'!B32</f>
        <v>147.82</v>
      </c>
      <c r="E39" s="28" t="s">
        <v>28</v>
      </c>
      <c r="F39" s="28">
        <v>121</v>
      </c>
      <c r="G39" s="28" t="s">
        <v>15</v>
      </c>
      <c r="H39" s="29" t="s">
        <v>32</v>
      </c>
      <c r="I39" s="28" t="s">
        <v>33</v>
      </c>
      <c r="J39" s="28"/>
      <c r="K39" s="28"/>
      <c r="L39" s="28"/>
      <c r="M39" s="28"/>
    </row>
    <row r="40" spans="1:13" x14ac:dyDescent="0.25">
      <c r="E40" s="28"/>
      <c r="F40" s="28"/>
      <c r="G40" s="28"/>
      <c r="H40" s="28"/>
      <c r="I40" s="28" t="s">
        <v>34</v>
      </c>
      <c r="J40" s="28"/>
      <c r="K40" s="28"/>
      <c r="L40" s="28"/>
      <c r="M40" s="28"/>
    </row>
    <row r="41" spans="1:13" x14ac:dyDescent="0.25">
      <c r="A41" t="s">
        <v>164</v>
      </c>
      <c r="C41" s="1">
        <v>1.2</v>
      </c>
    </row>
    <row r="42" spans="1:13" x14ac:dyDescent="0.25">
      <c r="A42" t="s">
        <v>182</v>
      </c>
      <c r="B42" s="1">
        <f>'Character Offensive Stats'!B22+'Character Offensive Stats'!B23+'Character Offensive Stats'!B27+'Character Offensive Stats'!B26</f>
        <v>141.89399999999998</v>
      </c>
      <c r="C42" s="1">
        <v>1.2</v>
      </c>
    </row>
    <row r="43" spans="1:13" x14ac:dyDescent="0.25">
      <c r="A43" t="s">
        <v>183</v>
      </c>
      <c r="B43" s="1">
        <f>'Character Offensive Stats'!B22+'Character Offensive Stats'!B24+'Character Offensive Stats'!B27+'Character Offensive Stats'!B26</f>
        <v>27.994</v>
      </c>
    </row>
    <row r="44" spans="1:13" x14ac:dyDescent="0.25">
      <c r="G44" s="28" t="s">
        <v>232</v>
      </c>
      <c r="H44" s="28"/>
      <c r="I44" s="28"/>
      <c r="J44" s="28"/>
    </row>
    <row r="45" spans="1:13" x14ac:dyDescent="0.25">
      <c r="A45" t="s">
        <v>165</v>
      </c>
      <c r="C45" s="1">
        <v>0.8</v>
      </c>
      <c r="G45" s="28" t="s">
        <v>6</v>
      </c>
      <c r="H45" s="28" t="s">
        <v>7</v>
      </c>
      <c r="I45" s="28">
        <v>0</v>
      </c>
      <c r="J45" s="28"/>
    </row>
    <row r="46" spans="1:13" x14ac:dyDescent="0.25">
      <c r="A46" t="s">
        <v>186</v>
      </c>
      <c r="B46" s="1">
        <f>'Character Offensive Stats'!B22+'Character Offensive Stats'!B23+'Character Offensive Stats'!B26</f>
        <v>139.47399999999999</v>
      </c>
      <c r="C46" s="1">
        <v>0.8</v>
      </c>
      <c r="G46" s="28" t="s">
        <v>30</v>
      </c>
      <c r="H46" s="28" t="s">
        <v>8</v>
      </c>
      <c r="I46" s="28">
        <v>0</v>
      </c>
      <c r="J46" s="28"/>
    </row>
    <row r="47" spans="1:13" x14ac:dyDescent="0.25">
      <c r="G47" s="28"/>
      <c r="H47" s="28" t="s">
        <v>9</v>
      </c>
      <c r="I47" s="28">
        <v>0</v>
      </c>
      <c r="J47" s="28"/>
    </row>
    <row r="48" spans="1:13" x14ac:dyDescent="0.25">
      <c r="A48" t="s">
        <v>166</v>
      </c>
      <c r="C48" s="1">
        <v>0.9</v>
      </c>
      <c r="G48" s="28"/>
      <c r="H48" s="28" t="s">
        <v>10</v>
      </c>
      <c r="I48" s="30" t="s">
        <v>53</v>
      </c>
      <c r="J48" s="28"/>
    </row>
    <row r="49" spans="1:13" x14ac:dyDescent="0.25">
      <c r="A49" t="s">
        <v>186</v>
      </c>
      <c r="B49" s="1">
        <f>'Character Offensive Stats'!B22+'Character Offensive Stats'!B23+'Character Offensive Stats'!B26</f>
        <v>139.47399999999999</v>
      </c>
      <c r="C49" s="1">
        <v>0.9</v>
      </c>
      <c r="G49" s="28"/>
      <c r="H49" s="28" t="s">
        <v>11</v>
      </c>
      <c r="I49" s="31">
        <v>0.05</v>
      </c>
      <c r="J49" s="28"/>
    </row>
    <row r="50" spans="1:13" x14ac:dyDescent="0.25">
      <c r="G50" s="28"/>
      <c r="H50" s="28" t="s">
        <v>12</v>
      </c>
      <c r="I50" s="31">
        <v>1.5</v>
      </c>
      <c r="J50" s="28"/>
    </row>
    <row r="51" spans="1:13" x14ac:dyDescent="0.25">
      <c r="A51" t="s">
        <v>167</v>
      </c>
      <c r="G51" s="28"/>
      <c r="H51" s="28" t="s">
        <v>13</v>
      </c>
      <c r="I51" s="30" t="s">
        <v>52</v>
      </c>
      <c r="J51" s="28"/>
    </row>
    <row r="52" spans="1:13" x14ac:dyDescent="0.25">
      <c r="A52" t="s">
        <v>186</v>
      </c>
      <c r="B52" s="1">
        <f>'Character Offensive Stats'!B22+'Character Offensive Stats'!B23+'Character Offensive Stats'!B26</f>
        <v>139.47399999999999</v>
      </c>
      <c r="C52" s="1">
        <v>1.4</v>
      </c>
      <c r="G52" s="28"/>
      <c r="H52" s="28" t="s">
        <v>14</v>
      </c>
      <c r="I52" s="30">
        <v>83.65</v>
      </c>
      <c r="J52" s="28"/>
    </row>
    <row r="53" spans="1:13" x14ac:dyDescent="0.25">
      <c r="A53" t="s">
        <v>187</v>
      </c>
      <c r="B53" s="1">
        <f>'Character Offensive Stats'!B22+'Character Offensive Stats'!B23+'Character Offensive Stats'!B29+'Character Offensive Stats'!B32</f>
        <v>147.82</v>
      </c>
      <c r="C53" s="1">
        <v>1.4</v>
      </c>
    </row>
    <row r="55" spans="1:13" x14ac:dyDescent="0.25">
      <c r="A55" t="s">
        <v>168</v>
      </c>
      <c r="C55" s="1">
        <v>1.2</v>
      </c>
    </row>
    <row r="56" spans="1:13" x14ac:dyDescent="0.25">
      <c r="A56" t="s">
        <v>188</v>
      </c>
      <c r="B56" s="1">
        <f>'Character Offensive Stats'!B22+'Character Offensive Stats'!B24+'Character Offensive Stats'!B28+'Character Offensive Stats'!B32</f>
        <v>133.5</v>
      </c>
      <c r="C56" s="1">
        <v>1.2</v>
      </c>
      <c r="F56" s="28" t="s">
        <v>264</v>
      </c>
      <c r="G56" s="28" t="s">
        <v>256</v>
      </c>
      <c r="H56" s="28" t="s">
        <v>257</v>
      </c>
      <c r="I56" s="28"/>
      <c r="J56" s="28"/>
      <c r="K56" s="28"/>
    </row>
    <row r="57" spans="1:13" x14ac:dyDescent="0.25">
      <c r="A57" t="s">
        <v>189</v>
      </c>
      <c r="B57" s="1">
        <f>'Character Offensive Stats'!B22+'Character Offensive Stats'!B24+'Character Offensive Stats'!B30+'Character Offensive Stats'!B32</f>
        <v>33.92</v>
      </c>
      <c r="F57" s="28" t="s">
        <v>265</v>
      </c>
      <c r="G57" s="28" t="s">
        <v>258</v>
      </c>
      <c r="H57" s="28" t="s">
        <v>259</v>
      </c>
      <c r="I57" s="28"/>
      <c r="J57" s="28"/>
      <c r="K57" s="28"/>
    </row>
    <row r="58" spans="1:13" x14ac:dyDescent="0.25">
      <c r="A58" s="27"/>
      <c r="F58" s="28" t="s">
        <v>264</v>
      </c>
      <c r="G58" s="28" t="s">
        <v>260</v>
      </c>
      <c r="H58" s="28" t="s">
        <v>261</v>
      </c>
      <c r="I58" s="28"/>
      <c r="J58" s="28"/>
      <c r="K58" s="28"/>
    </row>
    <row r="59" spans="1:13" x14ac:dyDescent="0.25">
      <c r="A59" t="s">
        <v>169</v>
      </c>
      <c r="C59" s="1">
        <v>4</v>
      </c>
      <c r="F59" s="28"/>
      <c r="G59" s="28"/>
      <c r="H59" s="28"/>
      <c r="I59" s="28"/>
      <c r="J59" s="28"/>
      <c r="K59" s="28"/>
    </row>
    <row r="60" spans="1:13" x14ac:dyDescent="0.25">
      <c r="A60" t="s">
        <v>190</v>
      </c>
      <c r="B60" s="1">
        <f>'Character Offensive Stats'!B22+'Character Offensive Stats'!B26</f>
        <v>25.574000000000002</v>
      </c>
      <c r="F60" s="28" t="s">
        <v>265</v>
      </c>
      <c r="G60" s="28" t="s">
        <v>262</v>
      </c>
      <c r="H60" s="28" t="s">
        <v>263</v>
      </c>
      <c r="I60" s="28"/>
      <c r="J60" s="28"/>
      <c r="K60" s="28"/>
    </row>
    <row r="61" spans="1:13" x14ac:dyDescent="0.25">
      <c r="A61" t="s">
        <v>191</v>
      </c>
      <c r="B61" s="1">
        <f>'Character Offensive Stats'!B22+'Character Offensive Stats'!B30+'Character Offensive Stats'!B32</f>
        <v>33.92</v>
      </c>
    </row>
    <row r="63" spans="1:13" x14ac:dyDescent="0.25">
      <c r="A63" t="s">
        <v>212</v>
      </c>
      <c r="C63" s="1">
        <v>2</v>
      </c>
    </row>
    <row r="64" spans="1:13" x14ac:dyDescent="0.25">
      <c r="A64" t="s">
        <v>192</v>
      </c>
      <c r="B64" s="1">
        <f>'Character Offensive Stats'!B22+'Character Offensive Stats'!B26</f>
        <v>25.574000000000002</v>
      </c>
      <c r="E64" s="28" t="s">
        <v>282</v>
      </c>
      <c r="F64" s="28"/>
      <c r="G64" s="28"/>
      <c r="H64" s="28"/>
      <c r="I64" s="28"/>
      <c r="J64" s="28"/>
      <c r="K64" s="28"/>
      <c r="L64" s="28"/>
      <c r="M64" s="28"/>
    </row>
    <row r="65" spans="1:13" x14ac:dyDescent="0.25">
      <c r="A65" t="s">
        <v>193</v>
      </c>
      <c r="B65" s="1">
        <f>'Character Offensive Stats'!B22+'Character Offensive Stats'!B28+'Character Offensive Stats'!B32</f>
        <v>133.5</v>
      </c>
      <c r="E65" s="28" t="s">
        <v>283</v>
      </c>
      <c r="F65" s="28"/>
      <c r="G65" s="28"/>
      <c r="H65" s="28"/>
      <c r="I65" s="28"/>
      <c r="J65" s="28"/>
      <c r="K65" s="28"/>
      <c r="L65" s="28"/>
      <c r="M65" s="28"/>
    </row>
    <row r="67" spans="1:13" x14ac:dyDescent="0.25">
      <c r="A67" t="s">
        <v>211</v>
      </c>
      <c r="C67" s="1">
        <v>4</v>
      </c>
    </row>
    <row r="68" spans="1:13" x14ac:dyDescent="0.25">
      <c r="A68" t="s">
        <v>192</v>
      </c>
      <c r="B68" s="1">
        <f>'Character Offensive Stats'!B22+'Character Offensive Stats'!B26</f>
        <v>25.574000000000002</v>
      </c>
    </row>
    <row r="69" spans="1:13" x14ac:dyDescent="0.25">
      <c r="A69" s="27"/>
    </row>
    <row r="70" spans="1:13" x14ac:dyDescent="0.25">
      <c r="A70" t="s">
        <v>170</v>
      </c>
      <c r="C70" s="1">
        <v>0.9</v>
      </c>
    </row>
    <row r="71" spans="1:13" x14ac:dyDescent="0.25">
      <c r="A71" t="s">
        <v>194</v>
      </c>
      <c r="B71" s="1">
        <f>'Character Offensive Stats'!B22+'Character Offensive Stats'!B24+'Character Offensive Stats'!B26</f>
        <v>25.574000000000002</v>
      </c>
      <c r="C71" s="1">
        <v>0.9</v>
      </c>
    </row>
    <row r="72" spans="1:13" x14ac:dyDescent="0.25">
      <c r="A72" t="s">
        <v>195</v>
      </c>
      <c r="B72" s="1">
        <f>'Character Offensive Stats'!B22+'Character Offensive Stats'!B29+'Character Offensive Stats'!B32</f>
        <v>33.92</v>
      </c>
    </row>
    <row r="74" spans="1:13" x14ac:dyDescent="0.25">
      <c r="A74" t="s">
        <v>171</v>
      </c>
      <c r="C74" s="1">
        <v>0.8</v>
      </c>
    </row>
    <row r="75" spans="1:13" x14ac:dyDescent="0.25">
      <c r="A75" t="s">
        <v>186</v>
      </c>
      <c r="B75" s="1">
        <f>'Character Offensive Stats'!B22+'Character Offensive Stats'!B23+'Character Offensive Stats'!B26</f>
        <v>139.47399999999999</v>
      </c>
      <c r="C75" s="1">
        <v>0.8</v>
      </c>
    </row>
    <row r="77" spans="1:13" x14ac:dyDescent="0.25">
      <c r="A77" t="s">
        <v>172</v>
      </c>
      <c r="C77" s="1">
        <v>1</v>
      </c>
    </row>
    <row r="78" spans="1:13" x14ac:dyDescent="0.25">
      <c r="A78" t="s">
        <v>188</v>
      </c>
      <c r="B78" s="1">
        <f>'Character Offensive Stats'!B22+'Character Offensive Stats'!B24+'Character Offensive Stats'!B28+'Character Offensive Stats'!B32</f>
        <v>133.5</v>
      </c>
      <c r="C78" s="1">
        <v>1</v>
      </c>
    </row>
    <row r="79" spans="1:13" x14ac:dyDescent="0.25">
      <c r="A79" t="s">
        <v>189</v>
      </c>
      <c r="B79" s="1">
        <f>'Character Offensive Stats'!B22+'Character Offensive Stats'!B30+'Character Offensive Stats'!B32</f>
        <v>33.92</v>
      </c>
    </row>
    <row r="81" spans="1:3" x14ac:dyDescent="0.25">
      <c r="A81" t="s">
        <v>173</v>
      </c>
      <c r="C81" s="1">
        <v>0.3</v>
      </c>
    </row>
    <row r="82" spans="1:3" x14ac:dyDescent="0.25">
      <c r="A82" t="s">
        <v>183</v>
      </c>
      <c r="B82" s="1">
        <f>'Character Offensive Stats'!B22+'Character Offensive Stats'!B24+'Character Offensive Stats'!B27+'Character Offensive Stats'!B26</f>
        <v>27.994</v>
      </c>
      <c r="C82" s="1">
        <v>1</v>
      </c>
    </row>
    <row r="83" spans="1:3" x14ac:dyDescent="0.25">
      <c r="A83" t="s">
        <v>182</v>
      </c>
      <c r="B83" s="1">
        <f>'Character Offensive Stats'!B22+'Character Offensive Stats'!B23+'Character Offensive Stats'!B27+'Character Offensive Stats'!B26</f>
        <v>141.89399999999998</v>
      </c>
    </row>
    <row r="85" spans="1:3" x14ac:dyDescent="0.25">
      <c r="A85" t="s">
        <v>174</v>
      </c>
      <c r="C85" s="1">
        <v>1</v>
      </c>
    </row>
    <row r="86" spans="1:3" x14ac:dyDescent="0.25">
      <c r="A86" t="s">
        <v>186</v>
      </c>
      <c r="B86" s="1">
        <f>'Character Offensive Stats'!B22+'Character Offensive Stats'!B23+'Character Offensive Stats'!B26</f>
        <v>139.47399999999999</v>
      </c>
      <c r="C86" s="1">
        <v>1</v>
      </c>
    </row>
    <row r="88" spans="1:3" x14ac:dyDescent="0.25">
      <c r="A88" t="s">
        <v>175</v>
      </c>
      <c r="C88" s="1">
        <v>1.2</v>
      </c>
    </row>
    <row r="89" spans="1:3" x14ac:dyDescent="0.25">
      <c r="A89" t="s">
        <v>196</v>
      </c>
      <c r="B89" s="1">
        <f>'Character Offensive Stats'!B22+'Character Offensive Stats'!B24+'Character Offensive Stats'!B26</f>
        <v>25.574000000000002</v>
      </c>
      <c r="C89" s="1">
        <v>1.2</v>
      </c>
    </row>
    <row r="90" spans="1:3" x14ac:dyDescent="0.25">
      <c r="A90" t="s">
        <v>197</v>
      </c>
      <c r="B90" s="1">
        <f>'Character Offensive Stats'!B22+'Character Offensive Stats'!B24+'Character Offensive Stats'!B28+'Character Offensive Stats'!B32</f>
        <v>133.5</v>
      </c>
    </row>
    <row r="91" spans="1:3" x14ac:dyDescent="0.25">
      <c r="A91" t="s">
        <v>198</v>
      </c>
      <c r="B91" s="1">
        <f>'Character Offensive Stats'!B22+'Character Offensive Stats'!B24+'Character Offensive Stats'!B30+'Character Offensive Stats'!B32</f>
        <v>33.92</v>
      </c>
    </row>
    <row r="93" spans="1:3" x14ac:dyDescent="0.25">
      <c r="A93" t="s">
        <v>176</v>
      </c>
    </row>
    <row r="94" spans="1:3" x14ac:dyDescent="0.25">
      <c r="A94" t="s">
        <v>194</v>
      </c>
      <c r="B94" s="1">
        <f>'Character Offensive Stats'!B22+'Character Offensive Stats'!B24+'Character Offensive Stats'!B26</f>
        <v>25.574000000000002</v>
      </c>
      <c r="C94" s="1">
        <v>1.7</v>
      </c>
    </row>
    <row r="95" spans="1:3" x14ac:dyDescent="0.25">
      <c r="A95" t="s">
        <v>195</v>
      </c>
      <c r="B95" s="1">
        <f>'Character Offensive Stats'!B22+'Character Offensive Stats'!B24+'Character Offensive Stats'!B29+'Character Offensive Stats'!B32</f>
        <v>33.92</v>
      </c>
      <c r="C95" s="1">
        <v>1.6</v>
      </c>
    </row>
    <row r="96" spans="1:3" x14ac:dyDescent="0.25">
      <c r="A96" s="27"/>
    </row>
    <row r="97" spans="1:3" x14ac:dyDescent="0.25">
      <c r="A97" t="s">
        <v>213</v>
      </c>
      <c r="C97" s="1">
        <v>2</v>
      </c>
    </row>
    <row r="98" spans="1:3" x14ac:dyDescent="0.25">
      <c r="A98" t="s">
        <v>190</v>
      </c>
      <c r="B98" s="1">
        <f>'Character Offensive Stats'!B22+'Character Offensive Stats'!B26</f>
        <v>25.574000000000002</v>
      </c>
    </row>
    <row r="99" spans="1:3" x14ac:dyDescent="0.25">
      <c r="A99" t="s">
        <v>199</v>
      </c>
      <c r="B99" s="1">
        <f>'Character Offensive Stats'!B22+'Character Offensive Stats'!B29+'Character Offensive Stats'!B32</f>
        <v>33.92</v>
      </c>
    </row>
    <row r="101" spans="1:3" x14ac:dyDescent="0.25">
      <c r="A101" t="s">
        <v>214</v>
      </c>
      <c r="C101" s="1">
        <v>6</v>
      </c>
    </row>
    <row r="102" spans="1:3" x14ac:dyDescent="0.25">
      <c r="A102" t="s">
        <v>200</v>
      </c>
      <c r="B102" s="1">
        <f>'Character Offensive Stats'!B22+'Character Offensive Stats'!B27+'Character Offensive Stats'!B26</f>
        <v>27.994</v>
      </c>
    </row>
    <row r="104" spans="1:3" x14ac:dyDescent="0.25">
      <c r="A104" t="s">
        <v>215</v>
      </c>
      <c r="C104" s="1">
        <v>2.5</v>
      </c>
    </row>
    <row r="105" spans="1:3" x14ac:dyDescent="0.25">
      <c r="A105" t="s">
        <v>192</v>
      </c>
      <c r="B105" s="1">
        <f>'Character Offensive Stats'!B22+'Character Offensive Stats'!B26</f>
        <v>25.574000000000002</v>
      </c>
    </row>
    <row r="106" spans="1:3" x14ac:dyDescent="0.25">
      <c r="A106" t="s">
        <v>193</v>
      </c>
      <c r="B106" s="1">
        <f>'Character Offensive Stats'!B22+'Character Offensive Stats'!B28+'Character Offensive Stats'!B32</f>
        <v>133.5</v>
      </c>
    </row>
    <row r="107" spans="1:3" x14ac:dyDescent="0.25">
      <c r="A107" s="27"/>
    </row>
    <row r="108" spans="1:3" x14ac:dyDescent="0.25">
      <c r="A108" t="s">
        <v>216</v>
      </c>
      <c r="C108" s="1">
        <v>0.9</v>
      </c>
    </row>
    <row r="109" spans="1:3" x14ac:dyDescent="0.25">
      <c r="A109" t="s">
        <v>205</v>
      </c>
      <c r="B109" s="1">
        <f>'Character Offensive Stats'!B22+'Character Offensive Stats'!B25+'Character Offensive Stats'!B28+'Character Offensive Stats'!B32</f>
        <v>133.5</v>
      </c>
      <c r="C109" s="1">
        <v>0.9</v>
      </c>
    </row>
    <row r="111" spans="1:3" x14ac:dyDescent="0.25">
      <c r="A111" t="s">
        <v>217</v>
      </c>
      <c r="C111" s="1">
        <v>1</v>
      </c>
    </row>
    <row r="112" spans="1:3" x14ac:dyDescent="0.25">
      <c r="A112" t="s">
        <v>206</v>
      </c>
      <c r="B112" s="1">
        <f>'Character Offensive Stats'!B22+'Character Offensive Stats'!B25+'Character Offensive Stats'!B31+'Character Offensive Stats'!B32</f>
        <v>33.92</v>
      </c>
      <c r="C112" s="1">
        <v>1</v>
      </c>
    </row>
    <row r="114" spans="1:3" x14ac:dyDescent="0.25">
      <c r="A114" t="s">
        <v>218</v>
      </c>
      <c r="C114" s="1">
        <v>0.8</v>
      </c>
    </row>
    <row r="115" spans="1:3" x14ac:dyDescent="0.25">
      <c r="A115" t="s">
        <v>207</v>
      </c>
      <c r="B115" s="1">
        <f>'Character Offensive Stats'!B22+'Character Offensive Stats'!B25+'Character Offensive Stats'!B29+'Character Offensive Stats'!B32</f>
        <v>33.92</v>
      </c>
      <c r="C115" s="1">
        <v>0.8</v>
      </c>
    </row>
    <row r="117" spans="1:3" x14ac:dyDescent="0.25">
      <c r="A117" t="s">
        <v>219</v>
      </c>
      <c r="C117" s="1">
        <v>1</v>
      </c>
    </row>
    <row r="118" spans="1:3" x14ac:dyDescent="0.25">
      <c r="A118" t="s">
        <v>187</v>
      </c>
      <c r="B118" s="1">
        <f>'Character Offensive Stats'!B22+'Character Offensive Stats'!B23+'Character Offensive Stats'!B29+'Character Offensive Stats'!B32</f>
        <v>147.82</v>
      </c>
      <c r="C118" s="1">
        <v>1</v>
      </c>
    </row>
    <row r="120" spans="1:3" x14ac:dyDescent="0.25">
      <c r="A120" t="s">
        <v>220</v>
      </c>
      <c r="C120" s="1">
        <v>0.8</v>
      </c>
    </row>
    <row r="121" spans="1:3" x14ac:dyDescent="0.25">
      <c r="A121" t="s">
        <v>208</v>
      </c>
      <c r="B121" s="1">
        <f>'Character Offensive Stats'!B22+'Character Offensive Stats'!B25+'Character Offensive Stats'!B30+'Character Offensive Stats'!B32</f>
        <v>33.92</v>
      </c>
      <c r="C121" s="1">
        <v>1</v>
      </c>
    </row>
    <row r="123" spans="1:3" x14ac:dyDescent="0.25">
      <c r="A123" t="s">
        <v>221</v>
      </c>
      <c r="C123" s="1">
        <v>1.2</v>
      </c>
    </row>
    <row r="124" spans="1:3" x14ac:dyDescent="0.25">
      <c r="A124" t="s">
        <v>208</v>
      </c>
      <c r="B124" s="1">
        <f>'Character Offensive Stats'!B22+'Character Offensive Stats'!B25+'Character Offensive Stats'!B30+'Character Offensive Stats'!B32</f>
        <v>33.92</v>
      </c>
      <c r="C124" s="1">
        <v>1.2</v>
      </c>
    </row>
    <row r="126" spans="1:3" x14ac:dyDescent="0.25">
      <c r="A126" t="s">
        <v>222</v>
      </c>
      <c r="C126" s="1">
        <v>1.4</v>
      </c>
    </row>
    <row r="127" spans="1:3" x14ac:dyDescent="0.25">
      <c r="A127" t="s">
        <v>205</v>
      </c>
      <c r="B127" s="1">
        <f>'Character Offensive Stats'!B22+'Character Offensive Stats'!B25+'Character Offensive Stats'!B28+'Character Offensive Stats'!B32</f>
        <v>133.5</v>
      </c>
      <c r="C127" s="1">
        <v>1.4</v>
      </c>
    </row>
    <row r="128" spans="1:3" x14ac:dyDescent="0.25">
      <c r="A128" t="s">
        <v>206</v>
      </c>
      <c r="B128" s="1">
        <f>'Character Offensive Stats'!B22+'Character Offensive Stats'!B25+'Character Offensive Stats'!B31+'Character Offensive Stats'!B32</f>
        <v>33.92</v>
      </c>
    </row>
    <row r="129" spans="1:3" x14ac:dyDescent="0.25">
      <c r="A129" t="s">
        <v>209</v>
      </c>
      <c r="B129" s="1">
        <f>'Character Offensive Stats'!B22+'Character Offensive Stats'!B25+'Character Offensive Stats'!B28+'Character Offensive Stats'!B29+'Character Offensive Stats'!B30+'Character Offensive Stats'!B31+'Character Offensive Stats'!B32</f>
        <v>133.5</v>
      </c>
    </row>
    <row r="130" spans="1:3" x14ac:dyDescent="0.25">
      <c r="A130" s="27"/>
    </row>
    <row r="131" spans="1:3" x14ac:dyDescent="0.25">
      <c r="A131" t="s">
        <v>223</v>
      </c>
      <c r="C131" s="1">
        <v>2</v>
      </c>
    </row>
    <row r="132" spans="1:3" x14ac:dyDescent="0.25">
      <c r="A132" t="s">
        <v>193</v>
      </c>
      <c r="B132" s="1">
        <f>'Character Offensive Stats'!B22+'Character Offensive Stats'!B28+'Character Offensive Stats'!B32</f>
        <v>133.5</v>
      </c>
    </row>
    <row r="133" spans="1:3" x14ac:dyDescent="0.25">
      <c r="A133" t="s">
        <v>201</v>
      </c>
      <c r="B133" s="1">
        <f>'Character Offensive Stats'!B22+'Character Offensive Stats'!B31+'Character Offensive Stats'!B32</f>
        <v>33.92</v>
      </c>
    </row>
    <row r="135" spans="1:3" x14ac:dyDescent="0.25">
      <c r="A135" t="s">
        <v>224</v>
      </c>
      <c r="C135" s="1">
        <v>2</v>
      </c>
    </row>
    <row r="136" spans="1:3" x14ac:dyDescent="0.25">
      <c r="A136" t="s">
        <v>202</v>
      </c>
      <c r="B136" s="1">
        <f>'Character Offensive Stats'!B22+'Character Offensive Stats'!B31+'Character Offensive Stats'!B32</f>
        <v>33.92</v>
      </c>
    </row>
    <row r="137" spans="1:3" x14ac:dyDescent="0.25">
      <c r="A137" t="s">
        <v>199</v>
      </c>
      <c r="B137" s="1">
        <f>'Character Offensive Stats'!B22+'Character Offensive Stats'!B29+'Character Offensive Stats'!B32</f>
        <v>33.92</v>
      </c>
    </row>
    <row r="139" spans="1:3" x14ac:dyDescent="0.25">
      <c r="A139" t="s">
        <v>225</v>
      </c>
      <c r="C139" s="1">
        <v>2.5</v>
      </c>
    </row>
    <row r="140" spans="1:3" x14ac:dyDescent="0.25">
      <c r="A140" t="s">
        <v>203</v>
      </c>
      <c r="B140" s="1">
        <f>'Character Offensive Stats'!B22+'Character Offensive Stats'!B29+'Character Offensive Stats'!B32</f>
        <v>33.92</v>
      </c>
    </row>
    <row r="141" spans="1:3" x14ac:dyDescent="0.25">
      <c r="A141" t="s">
        <v>204</v>
      </c>
      <c r="B141" s="1">
        <f>'Character Offensive Stats'!B22+'Character Offensive Stats'!B30+'Character Offensive Stats'!B32</f>
        <v>33.92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52"/>
  <sheetViews>
    <sheetView zoomScale="115" zoomScaleNormal="115" workbookViewId="0">
      <selection activeCell="Z1" sqref="Z1"/>
    </sheetView>
  </sheetViews>
  <sheetFormatPr defaultRowHeight="15" x14ac:dyDescent="0.25"/>
  <cols>
    <col min="1" max="1" width="3" bestFit="1" customWidth="1"/>
  </cols>
  <sheetData>
    <row r="1" spans="1:2" x14ac:dyDescent="0.25">
      <c r="A1" t="s">
        <v>150</v>
      </c>
      <c r="B1" t="s">
        <v>153</v>
      </c>
    </row>
    <row r="2" spans="1:2" x14ac:dyDescent="0.25">
      <c r="A2" t="s">
        <v>151</v>
      </c>
      <c r="B2" t="s">
        <v>158</v>
      </c>
    </row>
    <row r="3" spans="1:2" x14ac:dyDescent="0.25">
      <c r="B3" t="s">
        <v>238</v>
      </c>
    </row>
    <row r="6" spans="1:2" x14ac:dyDescent="0.25">
      <c r="A6" t="s">
        <v>150</v>
      </c>
      <c r="B6" t="s">
        <v>154</v>
      </c>
    </row>
    <row r="7" spans="1:2" x14ac:dyDescent="0.25">
      <c r="A7" t="s">
        <v>151</v>
      </c>
      <c r="B7" s="12" t="s">
        <v>155</v>
      </c>
    </row>
    <row r="10" spans="1:2" x14ac:dyDescent="0.25">
      <c r="A10" t="s">
        <v>150</v>
      </c>
      <c r="B10" t="s">
        <v>247</v>
      </c>
    </row>
    <row r="11" spans="1:2" x14ac:dyDescent="0.25">
      <c r="A11" t="s">
        <v>151</v>
      </c>
      <c r="B11" t="s">
        <v>253</v>
      </c>
    </row>
    <row r="12" spans="1:2" x14ac:dyDescent="0.25">
      <c r="B12" t="s">
        <v>252</v>
      </c>
    </row>
    <row r="13" spans="1:2" x14ac:dyDescent="0.25">
      <c r="B13" t="s">
        <v>266</v>
      </c>
    </row>
    <row r="16" spans="1:2" x14ac:dyDescent="0.25">
      <c r="A16" t="s">
        <v>150</v>
      </c>
      <c r="B16" t="s">
        <v>152</v>
      </c>
    </row>
    <row r="17" spans="1:2" x14ac:dyDescent="0.25">
      <c r="A17" t="s">
        <v>151</v>
      </c>
      <c r="B17" t="s">
        <v>156</v>
      </c>
    </row>
    <row r="20" spans="1:2" x14ac:dyDescent="0.25">
      <c r="A20" t="s">
        <v>150</v>
      </c>
      <c r="B20" t="s">
        <v>157</v>
      </c>
    </row>
    <row r="21" spans="1:2" x14ac:dyDescent="0.25">
      <c r="A21" t="s">
        <v>151</v>
      </c>
      <c r="B21" t="s">
        <v>239</v>
      </c>
    </row>
    <row r="24" spans="1:2" x14ac:dyDescent="0.25">
      <c r="A24" t="s">
        <v>150</v>
      </c>
      <c r="B24" t="s">
        <v>161</v>
      </c>
    </row>
    <row r="25" spans="1:2" x14ac:dyDescent="0.25">
      <c r="A25" t="s">
        <v>151</v>
      </c>
      <c r="B25" t="s">
        <v>312</v>
      </c>
    </row>
    <row r="28" spans="1:2" x14ac:dyDescent="0.25">
      <c r="A28" t="s">
        <v>150</v>
      </c>
      <c r="B28" t="s">
        <v>240</v>
      </c>
    </row>
    <row r="29" spans="1:2" x14ac:dyDescent="0.25">
      <c r="A29" t="s">
        <v>151</v>
      </c>
      <c r="B29" t="s">
        <v>162</v>
      </c>
    </row>
    <row r="32" spans="1:2" x14ac:dyDescent="0.25">
      <c r="A32" t="s">
        <v>150</v>
      </c>
      <c r="B32" t="s">
        <v>159</v>
      </c>
    </row>
    <row r="33" spans="1:22" x14ac:dyDescent="0.25">
      <c r="A33" t="s">
        <v>151</v>
      </c>
      <c r="B33" t="s">
        <v>160</v>
      </c>
    </row>
    <row r="36" spans="1:22" x14ac:dyDescent="0.25">
      <c r="A36" t="s">
        <v>150</v>
      </c>
      <c r="B36" t="s">
        <v>184</v>
      </c>
    </row>
    <row r="37" spans="1:22" x14ac:dyDescent="0.25">
      <c r="A37" t="s">
        <v>151</v>
      </c>
      <c r="B37" t="s">
        <v>185</v>
      </c>
    </row>
    <row r="40" spans="1:22" x14ac:dyDescent="0.25">
      <c r="A40" t="s">
        <v>150</v>
      </c>
      <c r="B40" t="s">
        <v>229</v>
      </c>
    </row>
    <row r="41" spans="1:22" x14ac:dyDescent="0.25">
      <c r="A41" t="s">
        <v>151</v>
      </c>
      <c r="B41" t="s">
        <v>230</v>
      </c>
    </row>
    <row r="44" spans="1:22" x14ac:dyDescent="0.25">
      <c r="A44" t="s">
        <v>150</v>
      </c>
      <c r="B44" t="s">
        <v>179</v>
      </c>
    </row>
    <row r="45" spans="1:22" ht="15" customHeight="1" x14ac:dyDescent="0.25">
      <c r="A45" t="s">
        <v>151</v>
      </c>
      <c r="B45" s="7" t="s">
        <v>313</v>
      </c>
      <c r="C45" s="7"/>
      <c r="D45" s="7"/>
      <c r="E45" s="7"/>
      <c r="F45" s="7"/>
      <c r="G45" s="7"/>
      <c r="H45" s="7"/>
      <c r="I45" s="7"/>
      <c r="J45" s="7"/>
      <c r="K45" s="7"/>
      <c r="L45" s="7"/>
      <c r="M45" s="7"/>
      <c r="N45" s="7"/>
      <c r="O45" s="7"/>
      <c r="P45" s="7"/>
      <c r="Q45" s="7"/>
      <c r="R45" s="7"/>
      <c r="S45" s="7"/>
      <c r="T45" s="7"/>
      <c r="U45" s="7"/>
      <c r="V45" s="7"/>
    </row>
    <row r="46" spans="1:22" x14ac:dyDescent="0.25">
      <c r="B46" s="7" t="s">
        <v>177</v>
      </c>
      <c r="C46" s="7"/>
      <c r="D46" s="7"/>
      <c r="E46" s="7"/>
      <c r="F46" s="7"/>
      <c r="G46" s="7"/>
      <c r="H46" s="7"/>
      <c r="I46" s="7"/>
      <c r="J46" s="7"/>
      <c r="K46" s="7"/>
      <c r="L46" s="7"/>
      <c r="M46" s="7"/>
      <c r="N46" s="7"/>
      <c r="O46" s="7"/>
      <c r="P46" s="7"/>
      <c r="Q46" s="7"/>
      <c r="R46" s="7"/>
      <c r="S46" s="7"/>
      <c r="T46" s="7"/>
      <c r="U46" s="7"/>
      <c r="V46" s="7"/>
    </row>
    <row r="47" spans="1:22" x14ac:dyDescent="0.25">
      <c r="B47" s="7" t="s">
        <v>178</v>
      </c>
      <c r="C47" s="7"/>
      <c r="D47" s="7"/>
      <c r="E47" s="7"/>
      <c r="F47" s="7"/>
      <c r="G47" s="7"/>
      <c r="H47" s="7"/>
      <c r="I47" s="7"/>
      <c r="J47" s="7"/>
      <c r="K47" s="7"/>
      <c r="L47" s="7"/>
      <c r="M47" s="7"/>
      <c r="N47" s="7"/>
      <c r="O47" s="7"/>
      <c r="P47" s="7"/>
      <c r="Q47" s="7"/>
      <c r="R47" s="7"/>
      <c r="S47" s="7"/>
      <c r="T47" s="7"/>
      <c r="U47" s="7"/>
      <c r="V47" s="7"/>
    </row>
    <row r="48" spans="1:22" x14ac:dyDescent="0.25">
      <c r="B48" t="s">
        <v>180</v>
      </c>
    </row>
    <row r="51" spans="1:2" x14ac:dyDescent="0.25">
      <c r="A51" t="s">
        <v>150</v>
      </c>
      <c r="B51" t="s">
        <v>314</v>
      </c>
    </row>
    <row r="52" spans="1:2" x14ac:dyDescent="0.25">
      <c r="A52" t="s">
        <v>151</v>
      </c>
    </row>
  </sheetData>
  <sheetProtection password="CCFD" sheet="1" objects="1" scenarios="1"/>
  <hyperlinks>
    <hyperlink ref="B7" r:id="rId1"/>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39"/>
  <sheetViews>
    <sheetView workbookViewId="0">
      <selection activeCell="AC1" sqref="AC1"/>
    </sheetView>
  </sheetViews>
  <sheetFormatPr defaultRowHeight="15" x14ac:dyDescent="0.25"/>
  <sheetData>
    <row r="1" spans="1:20" x14ac:dyDescent="0.25">
      <c r="A1" s="20" t="s">
        <v>0</v>
      </c>
      <c r="B1" s="20"/>
      <c r="C1" s="20"/>
      <c r="D1" s="20"/>
      <c r="E1" s="20"/>
      <c r="F1" s="20"/>
      <c r="G1" s="20"/>
      <c r="H1" s="20"/>
      <c r="I1" s="20"/>
      <c r="J1" s="20"/>
      <c r="K1" s="20"/>
      <c r="L1" s="20"/>
      <c r="M1" s="20"/>
      <c r="N1" s="20"/>
      <c r="O1" s="20"/>
      <c r="P1" s="20"/>
      <c r="Q1" s="20"/>
      <c r="R1" s="20"/>
      <c r="S1" s="91" t="s">
        <v>45</v>
      </c>
    </row>
    <row r="2" spans="1:20" x14ac:dyDescent="0.25">
      <c r="A2" t="s">
        <v>40</v>
      </c>
      <c r="S2" s="92"/>
    </row>
    <row r="3" spans="1:20" x14ac:dyDescent="0.25">
      <c r="A3" t="s">
        <v>39</v>
      </c>
      <c r="S3" s="92"/>
    </row>
    <row r="4" spans="1:20" x14ac:dyDescent="0.25">
      <c r="S4" s="92"/>
    </row>
    <row r="5" spans="1:20" x14ac:dyDescent="0.25">
      <c r="A5" t="s">
        <v>35</v>
      </c>
      <c r="S5" s="92"/>
    </row>
    <row r="6" spans="1:20" x14ac:dyDescent="0.25">
      <c r="A6" t="s">
        <v>36</v>
      </c>
      <c r="S6" s="92"/>
      <c r="T6" t="s">
        <v>46</v>
      </c>
    </row>
    <row r="7" spans="1:20" x14ac:dyDescent="0.25">
      <c r="A7" t="s">
        <v>37</v>
      </c>
      <c r="S7" s="92"/>
    </row>
    <row r="8" spans="1:20" x14ac:dyDescent="0.25">
      <c r="S8" s="92"/>
    </row>
    <row r="9" spans="1:20" x14ac:dyDescent="0.25">
      <c r="A9" t="s">
        <v>41</v>
      </c>
      <c r="S9" s="92"/>
    </row>
    <row r="10" spans="1:20" x14ac:dyDescent="0.25">
      <c r="A10" t="s">
        <v>42</v>
      </c>
      <c r="S10" s="92"/>
    </row>
    <row r="11" spans="1:20" x14ac:dyDescent="0.25">
      <c r="A11" s="26"/>
      <c r="B11" s="26" t="s">
        <v>43</v>
      </c>
      <c r="C11" s="26"/>
      <c r="D11" s="26"/>
      <c r="E11" s="26"/>
      <c r="F11" s="26"/>
      <c r="G11" s="26"/>
      <c r="H11" s="26"/>
      <c r="I11" s="26"/>
      <c r="J11" s="26"/>
      <c r="K11" s="26"/>
      <c r="L11" s="26"/>
      <c r="M11" s="26"/>
      <c r="N11" s="26"/>
      <c r="O11" s="26"/>
      <c r="P11" s="26"/>
      <c r="Q11" s="26"/>
      <c r="R11" s="26"/>
      <c r="S11" s="93"/>
    </row>
    <row r="12" spans="1:20" x14ac:dyDescent="0.25">
      <c r="S12" s="85"/>
    </row>
    <row r="13" spans="1:20" x14ac:dyDescent="0.25">
      <c r="S13" s="85"/>
    </row>
    <row r="15" spans="1:20" x14ac:dyDescent="0.25">
      <c r="A15" s="20"/>
      <c r="B15" s="20"/>
      <c r="C15" s="20"/>
      <c r="D15" s="20"/>
      <c r="E15" s="20"/>
      <c r="F15" s="20"/>
      <c r="G15" s="20"/>
      <c r="H15" s="20"/>
      <c r="I15" s="20"/>
      <c r="J15" s="20"/>
      <c r="K15" s="20"/>
      <c r="L15" s="20"/>
      <c r="M15" s="20"/>
      <c r="N15" s="20"/>
      <c r="O15" s="20"/>
      <c r="P15" s="20"/>
      <c r="Q15" s="20"/>
      <c r="R15" s="20"/>
      <c r="S15" s="91" t="s">
        <v>45</v>
      </c>
    </row>
    <row r="16" spans="1:20" x14ac:dyDescent="0.25">
      <c r="S16" s="92"/>
    </row>
    <row r="17" spans="1:20" x14ac:dyDescent="0.25">
      <c r="S17" s="92"/>
    </row>
    <row r="18" spans="1:20" x14ac:dyDescent="0.25">
      <c r="A18" t="s">
        <v>48</v>
      </c>
      <c r="S18" s="92"/>
    </row>
    <row r="19" spans="1:20" x14ac:dyDescent="0.25">
      <c r="B19" t="s">
        <v>49</v>
      </c>
      <c r="S19" s="92"/>
    </row>
    <row r="20" spans="1:20" x14ac:dyDescent="0.25">
      <c r="S20" s="92"/>
      <c r="T20" t="s">
        <v>251</v>
      </c>
    </row>
    <row r="21" spans="1:20" x14ac:dyDescent="0.25">
      <c r="A21" t="s">
        <v>50</v>
      </c>
      <c r="S21" s="92"/>
    </row>
    <row r="22" spans="1:20" x14ac:dyDescent="0.25">
      <c r="B22" t="s">
        <v>51</v>
      </c>
      <c r="S22" s="92"/>
    </row>
    <row r="23" spans="1:20" x14ac:dyDescent="0.25">
      <c r="S23" s="92"/>
    </row>
    <row r="24" spans="1:20" x14ac:dyDescent="0.25">
      <c r="S24" s="92"/>
    </row>
    <row r="25" spans="1:20" x14ac:dyDescent="0.25">
      <c r="A25" s="26"/>
      <c r="B25" s="26"/>
      <c r="C25" s="26"/>
      <c r="D25" s="26"/>
      <c r="E25" s="26"/>
      <c r="F25" s="26"/>
      <c r="G25" s="26"/>
      <c r="H25" s="26"/>
      <c r="I25" s="26"/>
      <c r="J25" s="26"/>
      <c r="K25" s="26"/>
      <c r="L25" s="26"/>
      <c r="M25" s="26"/>
      <c r="N25" s="26"/>
      <c r="O25" s="26"/>
      <c r="P25" s="26"/>
      <c r="Q25" s="26"/>
      <c r="R25" s="26"/>
      <c r="S25" s="93"/>
    </row>
    <row r="26" spans="1:20" x14ac:dyDescent="0.25">
      <c r="S26" s="85"/>
    </row>
    <row r="27" spans="1:20" x14ac:dyDescent="0.25">
      <c r="S27" s="85"/>
    </row>
    <row r="29" spans="1:20" x14ac:dyDescent="0.25">
      <c r="A29" s="20"/>
      <c r="B29" s="20"/>
      <c r="C29" s="20"/>
      <c r="D29" s="20"/>
      <c r="E29" s="20"/>
      <c r="F29" s="20"/>
      <c r="G29" s="20"/>
      <c r="H29" s="20"/>
      <c r="I29" s="20"/>
      <c r="J29" s="20"/>
      <c r="K29" s="20"/>
      <c r="L29" s="20"/>
      <c r="M29" s="20"/>
      <c r="N29" s="20"/>
      <c r="O29" s="20"/>
      <c r="P29" s="20"/>
      <c r="Q29" s="20"/>
      <c r="R29" s="20"/>
      <c r="S29" s="91" t="s">
        <v>45</v>
      </c>
    </row>
    <row r="30" spans="1:20" x14ac:dyDescent="0.25">
      <c r="S30" s="92"/>
    </row>
    <row r="31" spans="1:20" x14ac:dyDescent="0.25">
      <c r="S31" s="92"/>
    </row>
    <row r="32" spans="1:20" x14ac:dyDescent="0.25">
      <c r="S32" s="92"/>
    </row>
    <row r="33" spans="1:20" x14ac:dyDescent="0.25">
      <c r="S33" s="92"/>
    </row>
    <row r="34" spans="1:20" x14ac:dyDescent="0.25">
      <c r="A34" t="s">
        <v>249</v>
      </c>
      <c r="S34" s="92"/>
      <c r="T34" t="s">
        <v>250</v>
      </c>
    </row>
    <row r="35" spans="1:20" x14ac:dyDescent="0.25">
      <c r="S35" s="92"/>
    </row>
    <row r="36" spans="1:20" x14ac:dyDescent="0.25">
      <c r="S36" s="92"/>
    </row>
    <row r="37" spans="1:20" x14ac:dyDescent="0.25">
      <c r="S37" s="92"/>
    </row>
    <row r="38" spans="1:20" x14ac:dyDescent="0.25">
      <c r="S38" s="92"/>
    </row>
    <row r="39" spans="1:20" x14ac:dyDescent="0.25">
      <c r="A39" s="26"/>
      <c r="B39" s="26"/>
      <c r="C39" s="26"/>
      <c r="D39" s="26"/>
      <c r="E39" s="26"/>
      <c r="F39" s="26"/>
      <c r="G39" s="26"/>
      <c r="H39" s="26"/>
      <c r="I39" s="26"/>
      <c r="J39" s="26"/>
      <c r="K39" s="26"/>
      <c r="L39" s="26"/>
      <c r="M39" s="26"/>
      <c r="N39" s="26"/>
      <c r="O39" s="26"/>
      <c r="P39" s="26"/>
      <c r="Q39" s="26"/>
      <c r="R39" s="26"/>
      <c r="S39" s="93"/>
    </row>
  </sheetData>
  <sheetProtection password="CCFD" sheet="1" objects="1" scenarios="1"/>
  <mergeCells count="3">
    <mergeCell ref="S1:S11"/>
    <mergeCell ref="S15:S25"/>
    <mergeCell ref="S29:S3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81</vt:i4>
      </vt:variant>
    </vt:vector>
  </HeadingPairs>
  <TitlesOfParts>
    <vt:vector size="87" baseType="lpstr">
      <vt:lpstr>Contributors</vt:lpstr>
      <vt:lpstr>Character Offensive Stats</vt:lpstr>
      <vt:lpstr>Attributes &amp; Paragons</vt:lpstr>
      <vt:lpstr>Hidden</vt:lpstr>
      <vt:lpstr>Q&amp;As Nobody Asked For</vt:lpstr>
      <vt:lpstr>References</vt:lpstr>
      <vt:lpstr>ArcaneCloak</vt:lpstr>
      <vt:lpstr>ArcaneExplosion</vt:lpstr>
      <vt:lpstr>ArcaneExplosionFormulas</vt:lpstr>
      <vt:lpstr>ArcaneTorrent</vt:lpstr>
      <vt:lpstr>ArcaneTorrentFormulas</vt:lpstr>
      <vt:lpstr>ArmourBreak</vt:lpstr>
      <vt:lpstr>ArmourBreakFormulas</vt:lpstr>
      <vt:lpstr>Barrage</vt:lpstr>
      <vt:lpstr>BarrageFormulas</vt:lpstr>
      <vt:lpstr>BladeFlurry</vt:lpstr>
      <vt:lpstr>BladeFlurryFormulas</vt:lpstr>
      <vt:lpstr>Blizzard</vt:lpstr>
      <vt:lpstr>BlizzardFormulas</vt:lpstr>
      <vt:lpstr>ChainLightning</vt:lpstr>
      <vt:lpstr>ChainLightningFormulas</vt:lpstr>
      <vt:lpstr>Cleave</vt:lpstr>
      <vt:lpstr>CleaveFormulas</vt:lpstr>
      <vt:lpstr>CripplingPoison</vt:lpstr>
      <vt:lpstr>DefensiveStance</vt:lpstr>
      <vt:lpstr>Disable</vt:lpstr>
      <vt:lpstr>DisableFormulas</vt:lpstr>
      <vt:lpstr>DragonsRoar</vt:lpstr>
      <vt:lpstr>DragonsRoarFormulas</vt:lpstr>
      <vt:lpstr>Earthquake</vt:lpstr>
      <vt:lpstr>EarthquakeFormulas</vt:lpstr>
      <vt:lpstr>ExplosiveShot</vt:lpstr>
      <vt:lpstr>ExplosiveShotFormulas</vt:lpstr>
      <vt:lpstr>FireArrow</vt:lpstr>
      <vt:lpstr>FireArrowFormulas</vt:lpstr>
      <vt:lpstr>Fireball</vt:lpstr>
      <vt:lpstr>FireballFormulas</vt:lpstr>
      <vt:lpstr>Firestorm</vt:lpstr>
      <vt:lpstr>FirestormFormulas</vt:lpstr>
      <vt:lpstr>Frostbolt</vt:lpstr>
      <vt:lpstr>FrostboltFormulas</vt:lpstr>
      <vt:lpstr>FrostNova</vt:lpstr>
      <vt:lpstr>FrostStrike</vt:lpstr>
      <vt:lpstr>FrostStrikeFormulas</vt:lpstr>
      <vt:lpstr>GroundSlam</vt:lpstr>
      <vt:lpstr>ImposingCry</vt:lpstr>
      <vt:lpstr>M_Defaults</vt:lpstr>
      <vt:lpstr>M_Defensive</vt:lpstr>
      <vt:lpstr>M_Offensive</vt:lpstr>
      <vt:lpstr>Mage</vt:lpstr>
      <vt:lpstr>Meteor</vt:lpstr>
      <vt:lpstr>MeteorFormulas</vt:lpstr>
      <vt:lpstr>PinDown</vt:lpstr>
      <vt:lpstr>PinDownFormulas</vt:lpstr>
      <vt:lpstr>PoisonSting</vt:lpstr>
      <vt:lpstr>PoisonStingFormulas</vt:lpstr>
      <vt:lpstr>QuickDraw</vt:lpstr>
      <vt:lpstr>QuickDrawFormulas</vt:lpstr>
      <vt:lpstr>QuickSlash</vt:lpstr>
      <vt:lpstr>QuickSlashFormulas</vt:lpstr>
      <vt:lpstr>R_Defaults</vt:lpstr>
      <vt:lpstr>R_Defensive</vt:lpstr>
      <vt:lpstr>R_Offensive</vt:lpstr>
      <vt:lpstr>RainOfArrows</vt:lpstr>
      <vt:lpstr>RainOfArrowsFormulas</vt:lpstr>
      <vt:lpstr>Ranger</vt:lpstr>
      <vt:lpstr>Rend</vt:lpstr>
      <vt:lpstr>RendFormulas</vt:lpstr>
      <vt:lpstr>Slam</vt:lpstr>
      <vt:lpstr>SlamFormulas</vt:lpstr>
      <vt:lpstr>Smokescreen</vt:lpstr>
      <vt:lpstr>Snipe</vt:lpstr>
      <vt:lpstr>SnipeFormulas</vt:lpstr>
      <vt:lpstr>Stasis</vt:lpstr>
      <vt:lpstr>Sunder</vt:lpstr>
      <vt:lpstr>SunderFormulas</vt:lpstr>
      <vt:lpstr>TauntingBlow</vt:lpstr>
      <vt:lpstr>TauntingBlowFormulas</vt:lpstr>
      <vt:lpstr>Thunderbolt</vt:lpstr>
      <vt:lpstr>ThunderboltFormulas</vt:lpstr>
      <vt:lpstr>Vanish</vt:lpstr>
      <vt:lpstr>Vigilance</vt:lpstr>
      <vt:lpstr>VigilanceFormulas</vt:lpstr>
      <vt:lpstr>W_Defaults</vt:lpstr>
      <vt:lpstr>W_Defensive</vt:lpstr>
      <vt:lpstr>W_Offensive</vt:lpstr>
      <vt:lpstr>Warrior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dc:creator>
  <cp:lastModifiedBy>Jay</cp:lastModifiedBy>
  <dcterms:created xsi:type="dcterms:W3CDTF">2022-09-15T14:58:05Z</dcterms:created>
  <dcterms:modified xsi:type="dcterms:W3CDTF">2022-10-06T03:39:49Z</dcterms:modified>
</cp:coreProperties>
</file>